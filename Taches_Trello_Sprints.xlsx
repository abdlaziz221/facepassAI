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dla\Downloads\"/>
    </mc:Choice>
  </mc:AlternateContent>
  <xr:revisionPtr revIDLastSave="0" documentId="13_ncr:1_{084F04FC-CAAC-4EAC-874A-63B9F09AEDC1}" xr6:coauthVersionLast="47" xr6:coauthVersionMax="47" xr10:uidLastSave="{00000000-0000-0000-0000-000000000000}"/>
  <bookViews>
    <workbookView xWindow="6924" yWindow="372" windowWidth="9408" windowHeight="12336" tabRatio="500" activeTab="1" xr2:uid="{00000000-000D-0000-FFFF-FFFF00000000}"/>
  </bookViews>
  <sheets>
    <sheet name="Guide Trello" sheetId="1" r:id="rId1"/>
    <sheet name="Sprint 0" sheetId="2" r:id="rId2"/>
    <sheet name="Sprint 1" sheetId="3" r:id="rId3"/>
    <sheet name="Sprint 2" sheetId="4" r:id="rId4"/>
    <sheet name="Sprint 3" sheetId="5" r:id="rId5"/>
    <sheet name="Sprint 4" sheetId="6" r:id="rId6"/>
    <sheet name="Sprint 5" sheetId="7" r:id="rId7"/>
    <sheet name="Sprint 6" sheetId="8" r:id="rId8"/>
    <sheet name="Sprint 7" sheetId="9" r:id="rId9"/>
    <sheet name="Sprint 8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0" l="1"/>
  <c r="F13" i="9"/>
  <c r="F16" i="8"/>
  <c r="F16" i="7"/>
  <c r="F17" i="6"/>
  <c r="F18" i="5"/>
  <c r="F16" i="4"/>
  <c r="F15" i="3"/>
  <c r="F12" i="2"/>
</calcChain>
</file>

<file path=xl/sharedStrings.xml><?xml version="1.0" encoding="utf-8"?>
<sst xmlns="http://schemas.openxmlformats.org/spreadsheetml/2006/main" count="477" uniqueCount="334">
  <si>
    <t>BACKLOG → TRELLO : GUIDE D'UTILISATION</t>
  </si>
  <si>
    <t>Sprint 0 — Initialisation</t>
  </si>
  <si>
    <t>#</t>
  </si>
  <si>
    <t>Titre de la carte</t>
  </si>
  <si>
    <t>Description</t>
  </si>
  <si>
    <t>Checklist</t>
  </si>
  <si>
    <t>Labels</t>
  </si>
  <si>
    <t>Estim. (h)</t>
  </si>
  <si>
    <t>Installer Laravel 11 via Composer</t>
  </si>
  <si>
    <t>Créer le projet Laravel à la racine du repo avec Composer et vérifier le démarrage du serveur Artisan.
User Story liée : US-001</t>
  </si>
  <si>
    <t>☐ composer create-project laravel/laravel plateforme-presence
☐ Tester php artisan serve
☐ Vérifier accès à http://localhost:8000</t>
  </si>
  <si>
    <t>Must, Backend, DevOps</t>
  </si>
  <si>
    <t>Configurer la base de données MySQL</t>
  </si>
  <si>
    <t>Créer la base et configurer le fichier .env pour se connecter en local.
User Story liée : US-002</t>
  </si>
  <si>
    <t>☐ Créer la base presence_db dans MySQL
☐ Remplir DB_* dans .env
☐ Lancer php artisan migrate pour tester la connexion</t>
  </si>
  <si>
    <t>Must, Backend</t>
  </si>
  <si>
    <t>Mettre en place l'architecture MVC (Services / Repositories)</t>
  </si>
  <si>
    <t>Créer les dossiers app/Services et app/Repositories et documenter la convention de nommage.
User Story liée : US-003</t>
  </si>
  <si>
    <t>☐ Créer app/Services
☐ Créer app/Repositories
☐ Rédiger la convention dans README.md
☐ Ajouter des exemples minimalistes</t>
  </si>
  <si>
    <t>Intégrer Tailwind CSS + Vite</t>
  </si>
  <si>
    <t>Installer Tailwind et Vite, compiler les assets, créer le layout Blade principal.
User Story liée : US-004</t>
  </si>
  <si>
    <t>☐ npm install -D tailwindcss postcss autoprefixer
☐ npx tailwindcss init -p
☐ Configurer vite.config.js
☐ Créer resources/views/layouts/app.blade.php</t>
  </si>
  <si>
    <t>Must, Frontend</t>
  </si>
  <si>
    <t>Intégrer Alpine.js pour l'interactivité légère</t>
  </si>
  <si>
    <t>Ajouter Alpine.js aux assets compilés par Vite.
User Story liée : US-004</t>
  </si>
  <si>
    <t>☐ npm install alpinejs
☐ Importer Alpine dans app.js
☐ Tester un composant simple (menu déroulant)</t>
  </si>
  <si>
    <t>Configurer Git + GitHub</t>
  </si>
  <si>
    <t>Initialiser le dépôt, créer les branches main/dev et publier le projet.
User Story liée : US-005</t>
  </si>
  <si>
    <t>☐ git init
☐ Créer le repo GitHub
☐ Ajouter .gitignore Laravel standard
☐ Pousser main + dev
☐ Protéger main (require PR)</t>
  </si>
  <si>
    <t>Must, DevOps</t>
  </si>
  <si>
    <t>Rédiger le README initial</t>
  </si>
  <si>
    <t>Expliquer comment installer et lancer le projet en local.
User Story liée : US-005</t>
  </si>
  <si>
    <t>☐ Prérequis (PHP, Composer, Node, MySQL)
☐ Instructions d'installation
☐ Commandes utiles
☐ Équipe &amp; contact</t>
  </si>
  <si>
    <t>Must, Doc</t>
  </si>
  <si>
    <t>Créer les Factories et Seeders de base</t>
  </si>
  <si>
    <t>Préparer des données de test reproductibles.
User Story liée : US-006</t>
  </si>
  <si>
    <t>☐ Factory User
☐ Factory Employe
☐ Factory Pointage
☐ DatabaseSeeder orchestrant le jeu de démo</t>
  </si>
  <si>
    <t>Should, Backend</t>
  </si>
  <si>
    <t>TOTAL (heures)</t>
  </si>
  <si>
    <t>Sprint 1 — Authentification &amp; RBAC</t>
  </si>
  <si>
    <t>Installer Laravel Breeze</t>
  </si>
  <si>
    <t>Scaffold d'authentification rapide avec Blade + Tailwind.
User Story liée : US-011</t>
  </si>
  <si>
    <t>☐ composer require laravel/breeze --dev
☐ php artisan breeze:install blade
☐ npm run build
☐ Migrer la table users</t>
  </si>
  <si>
    <t>Installer spatie/laravel-permission</t>
  </si>
  <si>
    <t>Ajouter la gestion des rôles et permissions RBAC.
User Story liée : US-015</t>
  </si>
  <si>
    <t>☐ composer require spatie/laravel-permission
☐ Publier la migration et le config
☐ Ajouter HasRoles sur le modèle User
☐ Configurer le guard web</t>
  </si>
  <si>
    <t>Modéliser la hiérarchie Utilisateur → Employé → Consultant → Gestionnaire → Admin</t>
  </si>
  <si>
    <t>Créer les modèles et la table unique avec un champ role.
User Story liée : US-010</t>
  </si>
  <si>
    <t>☐ Migration users avec enum role
☐ Modèle User abstrait (scopes)
☐ Modèles Employe, Consultant, Gestionnaire, Administrateur (STI)
☐ Écrire les factories dédiées</t>
  </si>
  <si>
    <t>Créer le seeder des rôles et permissions</t>
  </si>
  <si>
    <t>Instancier les 4 rôles et toutes les permissions liées aux 14 UC.
User Story liée : US-015</t>
  </si>
  <si>
    <t>☐ Créer RolePermissionSeeder
☐ Définir les permissions (14 UC)
☐ Assigner les permissions à chaque rôle selon l'héritage
☐ Créer des comptes de démo (admin/gest/cons/emp)</t>
  </si>
  <si>
    <t>Personnaliser la page de connexion</t>
  </si>
  <si>
    <t>Adapter la vue Breeze à l'identité du projet.
User Story liée : US-011</t>
  </si>
  <si>
    <t>☐ Remplacer le logo
☐ Ajouter le titre Plateforme de Gestion des Présences
☐ Traduire les textes en français
☐ Ajouter le lien Mot de passe oublié</t>
  </si>
  <si>
    <t>Implémenter le throttling de connexion (3 tentatives)</t>
  </si>
  <si>
    <t>Bloquer après 3 tentatives échouées et afficher un message clair.
User Story liée : US-012</t>
  </si>
  <si>
    <t>☐ Utiliser le RateLimiter natif
☐ Message d'erreur explicite
☐ Réinitialisation du compteur après succès
☐ Test feature</t>
  </si>
  <si>
    <t>Must, Backend, Test</t>
  </si>
  <si>
    <t>Implémenter le mot de passe oublié</t>
  </si>
  <si>
    <t>Envoi d'un email avec un lien de réinitialisation expirable.
User Story liée : US-013</t>
  </si>
  <si>
    <t>☐ Configurer le mailer en local (log)
☐ Customiser l'email de reset
☐ Ajouter page de reset
☐ Test feature</t>
  </si>
  <si>
    <t>Ajouter le champ estActif et gérer les comptes désactivés</t>
  </si>
  <si>
    <t>Refuser la connexion si le compte est inactif.
User Story liée : US-014</t>
  </si>
  <si>
    <t>☐ Migration add estActif
☐ Middleware CheckAccountActive
☐ Message Contacter l'administrateur
☐ Test feature</t>
  </si>
  <si>
    <t>Créer les middlewares RBAC (Role + Permission)</t>
  </si>
  <si>
    <t>Protéger les routes selon le rôle et la permission.
User Story liée : US-015</t>
  </si>
  <si>
    <t>☐ Middleware Role
☐ Middleware Permission
☐ Router les routes web par groupes role:*
☐ Tests couvrant chaque rôle</t>
  </si>
  <si>
    <t>Créer les dashboards par rôle</t>
  </si>
  <si>
    <t>Chaque rôle arrive sur son propre tableau de bord.
User Story liée : US-016</t>
  </si>
  <si>
    <t>☐ Dashboard Employé
☐ Dashboard Consultant
☐ Dashboard Gestionnaire
☐ Dashboard Administrateur
☐ Menu adaptatif selon le rôle</t>
  </si>
  <si>
    <t>Implémenter la déconnexion sécurisée</t>
  </si>
  <si>
    <t>Détruire la session proprement et rediriger.
User Story liée : US-017</t>
  </si>
  <si>
    <t>☐ Bouton Déconnexion dans le menu
☐ Route POST logout avec CSRF
☐ Test feature</t>
  </si>
  <si>
    <t>Sprint 2 — Gestion des Employés</t>
  </si>
  <si>
    <t>Créer la migration et le modèle Employe</t>
  </si>
  <si>
    <t>Table employes avec matricule, poste, département, salaireBrut, photoFaciale.
User Story liée : US-020</t>
  </si>
  <si>
    <t>☐ Migration employes
☐ Clé étrangère vers users
☐ Index sur matricule et email
☐ Modèle Employe avec relations</t>
  </si>
  <si>
    <t>Créer EmployePolicy</t>
  </si>
  <si>
    <t>Restreindre les actions CRUD selon le rôle.
User Story liée : US-020</t>
  </si>
  <si>
    <t>☐ create : admin + gestionnaire
☐ update : admin + gestionnaire
☐ delete : admin + gestionnaire
☐ view : tous (sauf employé → profils autres)</t>
  </si>
  <si>
    <t>Créer EmployeController (CRUD)</t>
  </si>
  <si>
    <t>Index, create, store, show, edit, update, destroy.
User Story liée : US-020</t>
  </si>
  <si>
    <t>☐ Resource controller
☐ Routes avec middleware permission
☐ Form Requests dédiés
☐ Redirections + messages flash</t>
  </si>
  <si>
    <t>Développer le formulaire d'ajout d'employé</t>
  </si>
  <si>
    <t>Formulaire complet avec upload de photo et validation côté serveur.
User Story liée : US-020</t>
  </si>
  <si>
    <t>☐ Champs identité, poste, département
☐ Upload image (jpg/png max 2 Mo)
☐ Affichage aperçu en direct
☐ Validation Form Request</t>
  </si>
  <si>
    <t>Intégrer l'upload et stockage sécurisé de la photo faciale</t>
  </si>
  <si>
    <t>Stocker la photo et appeler le microservice pour générer l'encodage.
User Story liée : US-020</t>
  </si>
  <si>
    <t>☐ Driver storage local
☐ Appel POST /encode au microservice
☐ Sauver l'encodage en base (pas la photo brute si BNF-06)
☐ Gestion d'erreur si encodage impossible</t>
  </si>
  <si>
    <t>Vérifier l'unicité matricule et email</t>
  </si>
  <si>
    <t>Refuser les doublons avec un message clair.
User Story liée : US-020</t>
  </si>
  <si>
    <t>☐ Règle Rule::unique
☐ Message d'erreur Français
☐ Test feature (doublon)</t>
  </si>
  <si>
    <t>Implémenter la modification d'un employé</t>
  </si>
  <si>
    <t>Pré-remplir le formulaire et historiser le changement.
User Story liée : US-021</t>
  </si>
  <si>
    <t>☐ Vue edit.blade.php
☐ Update avec Form Request
☐ Log d'activité (activitylog)
☐ Test feature</t>
  </si>
  <si>
    <t>Must, Backend, Frontend, Test</t>
  </si>
  <si>
    <t>Implémenter la suppression avec confirmation</t>
  </si>
  <si>
    <t>SoftDelete + modale de confirmation si pointages actifs.
User Story liée : US-022</t>
  </si>
  <si>
    <t>☐ Trait SoftDeletes
☐ Vérification relation pointages
☐ Modale Alpine.js
☐ Test feature</t>
  </si>
  <si>
    <t>Développer la liste paginée des employés</t>
  </si>
  <si>
    <t>Table avec nom, prénom, poste, statut, pagination 15 par page.
User Story liée : US-023</t>
  </si>
  <si>
    <t>☐ Paginator Laravel
☐ Composant Blade de tableau
☐ Styles Tailwind
☐ Lien vers le profil détaillé</t>
  </si>
  <si>
    <t>Ajouter les filtres département / statut</t>
  </si>
  <si>
    <t>Filtres combinables avec persistance en session.
User Story liée : US-024</t>
  </si>
  <si>
    <t>☐ Query scopes
☐ Formulaire de filtres
☐ Message Aucun résultat trouvé</t>
  </si>
  <si>
    <t>Should, Backend, Frontend</t>
  </si>
  <si>
    <t>Développer la page profil détaillé</t>
  </si>
  <si>
    <t>Infos complètes + pointages récents + demandes d'absence.
User Story liée : US-025</t>
  </si>
  <si>
    <t>☐ Layout profil
☐ Composant pointages récents
☐ Composant demandes en cours
☐ Affichage de la photo</t>
  </si>
  <si>
    <t>Should, Frontend</t>
  </si>
  <si>
    <t>Écrire les tests feature du module Employé</t>
  </si>
  <si>
    <t>Couvrir le CRUD, la validation et les permissions.
User Story liée : US-020/21/22</t>
  </si>
  <si>
    <t>☐ Test ajout OK/KO
☐ Test modification
☐ Test suppression avec pointages
☐ Test permissions par rôle</t>
  </si>
  <si>
    <t>Must, Test</t>
  </si>
  <si>
    <t>Sprint 3 — Pointage Biométrique</t>
  </si>
  <si>
    <t>Initialiser le microservice Python de reconnaissance faciale</t>
  </si>
  <si>
    <t>Projet FastAPI avec face_recognition ou DeepFace.
User Story liée : US-030</t>
  </si>
  <si>
    <t>☐ Créer dossier face-service/
☐ Init FastAPI + uvicorn
☐ Endpoints GET /health, POST /encode, POST /match
☐ Dockerfile</t>
  </si>
  <si>
    <t>Implémenter l'endpoint /encode</t>
  </si>
  <si>
    <t>Retourne le vecteur d'encodage à partir d'une image.
User Story liée : US-030</t>
  </si>
  <si>
    <t>☐ Recevoir image (multipart)
☐ Détecter visage (1 seul visage accepté)
☐ Retourner embedding
☐ Tests unitaires Python</t>
  </si>
  <si>
    <t>Implémenter l'endpoint /match</t>
  </si>
  <si>
    <t>Compare un embedding à celui de l'employé et retourne un score.
User Story liée : US-030</t>
  </si>
  <si>
    <t>☐ Comparer deux embeddings
☐ Seuil configurable
☐ Retour {match: true/false, distance: x}</t>
  </si>
  <si>
    <t>Dockeriser le microservice</t>
  </si>
  <si>
    <t>Conteneur reproductible pour dev et prod.
User Story liée : US-030</t>
  </si>
  <si>
    <t>☐ Dockerfile optimisé
☐ docker-compose.yml partagé avec Laravel
☐ Tester en local</t>
  </si>
  <si>
    <t>Créer le service Laravel FaceRecognitionService</t>
  </si>
  <si>
    <t>Client HTTP vers le microservice, avec retry et timeout.
User Story liée : US-031</t>
  </si>
  <si>
    <t>☐ Service injectable
☐ Guzzle HTTP client
☐ Timeout 3s + retry
☐ Tests avec mock</t>
  </si>
  <si>
    <t>Créer la migration et le modèle Pointage</t>
  </si>
  <si>
    <t>Table pointages liée à employe_id.
User Story liée : US-032</t>
  </si>
  <si>
    <t>☐ Migration pointages
☐ Modèle Pointage
☐ Relation belongsTo Employe
☐ Type enum (arrivee, debut_pause, fin_pause, depart)</t>
  </si>
  <si>
    <t>Développer la page de pointage (capture caméra)</t>
  </si>
  <si>
    <t>Interface simple avec bouton de capture via WebRTC.
User Story liée : US-032</t>
  </si>
  <si>
    <t>☐ Accès caméra via navigator.mediaDevices
☐ Aperçu vidéo
☐ Capture image base64 au clic
☐ Fallback message si caméra indisponible</t>
  </si>
  <si>
    <t>Implémenter PointageController@store</t>
  </si>
  <si>
    <t>Reçoit l'image, appelle le service faciale, enregistre le pointage.
User Story liée : US-032</t>
  </si>
  <si>
    <t>☐ Validation image
☐ Appel FaceRecognitionService::match
☐ Détermination du type de pointage (règle métier)
☐ Enregistrement + retour JSON</t>
  </si>
  <si>
    <t>Règle métier : détermination du type de pointage</t>
  </si>
  <si>
    <t>Arrivée, début/fin de pause, départ selon heure et ordre.
User Story liée : US-033</t>
  </si>
  <si>
    <t>☐ Service PointageTypeResolver
☐ Utilise JoursTravail pour le référentiel
☐ Tests unitaires (tous cas)</t>
  </si>
  <si>
    <t>Règle : limite de 4 pointages par jour</t>
  </si>
  <si>
    <t>Refuser et afficher un message informatif.
User Story liée : US-034</t>
  </si>
  <si>
    <t>☐ Compteur du jour par employé
☐ Return 422 si dépassement
☐ Message UI explicite
☐ Test feature</t>
  </si>
  <si>
    <t>Gestion d'échec de reconnaissance</t>
  </si>
  <si>
    <t>Message d'erreur + possibilité de réessayer (max 3 fois).
User Story liée : US-035</t>
  </si>
  <si>
    <t>☐ Compteur de tentatives en session
☐ Message après chaque échec
☐ Log d'erreur côté serveur</t>
  </si>
  <si>
    <t>Must, Frontend, Backend</t>
  </si>
  <si>
    <t>Mode de pointage manuel en cas de panne caméra</t>
  </si>
  <si>
    <t>Fallback validable par un gestionnaire.
User Story liée : US-036</t>
  </si>
  <si>
    <t>☐ Détection caméra indisponible côté front
☐ Formulaire manuel avec motif
☐ Flag pointage_manuel sur la ligne
☐ Validation côté gestionnaire</t>
  </si>
  <si>
    <t>Should, Frontend, Backend</t>
  </si>
  <si>
    <t>Tests feature complets du pointage</t>
  </si>
  <si>
    <t>Scénarios nominaux, erreurs, limites.
User Story liée : US-032</t>
  </si>
  <si>
    <t>☐ Pointage reconnu OK
☐ Visage non reconnu
☐ 4 pointages/jour atteints
☐ Caméra en panne</t>
  </si>
  <si>
    <t>Audit confidentialité (BNF-06)</t>
  </si>
  <si>
    <t>Vérifier que les encodages sont non reconstructibles et que la photo brute n'est pas persistée.
User Story liée : US-037</t>
  </si>
  <si>
    <t>☐ Auditer le stockage
☐ Documenter la politique de traitement
☐ Validation par l'équipe</t>
  </si>
  <si>
    <t>Must, Backend, Doc</t>
  </si>
  <si>
    <t>Sprint 4 — Horaires &amp; Demandes d'Absence</t>
  </si>
  <si>
    <t>Créer la migration et le modèle JoursTravail</t>
  </si>
  <si>
    <t>Table pour stocker la configuration temporelle.
User Story liée : US-040</t>
  </si>
  <si>
    <t>☐ Migration jours_travail
☐ Modèle JoursTravail
☐ Seeder par défaut (lun-ven 8h-17h)</t>
  </si>
  <si>
    <t>Développer la vue de configuration des horaires</t>
  </si>
  <si>
    <t>Interface admin pour choisir jours ouvrables et horaires.
User Story liée : US-040</t>
  </si>
  <si>
    <t>☐ Sélecteur multi-jours
☐ Time inputs (arrivée, pause, fin pause, départ)
☐ Liste jours fériés
☐ Boutons Enregistrer / Annuler</t>
  </si>
  <si>
    <t>Valider la cohérence des horaires saisis</t>
  </si>
  <si>
    <t>arrivée &lt; début pause &lt; fin pause &lt; départ.
User Story liée : US-041</t>
  </si>
  <si>
    <t>☐ Form Request dédié
☐ Messages d'erreur explicites
☐ Test feature</t>
  </si>
  <si>
    <t>Gérer l'avertissement avant modification</t>
  </si>
  <si>
    <t>Alerter si des pointages existent avec les anciens horaires.
User Story liée : US-043</t>
  </si>
  <si>
    <t>☐ Compter les pointages concernés
☐ Modale de confirmation
☐ Log de la modification</t>
  </si>
  <si>
    <t>Gérer les jours fériés et exceptions</t>
  </si>
  <si>
    <t>Ajout/suppression de dates exceptionnelles.
User Story liée : US-042</t>
  </si>
  <si>
    <t>☐ Table jours_feries
☐ CRUD simple
☐ Prise en compte dans calcul</t>
  </si>
  <si>
    <t>Créer la migration et le modèle DemandeAbsence</t>
  </si>
  <si>
    <t>Table demandes_absence avec statut.
User Story liée : US-050</t>
  </si>
  <si>
    <t>☐ Migration demandes_absence
☐ Modèle DemandeAbsence
☐ Statut enum (en_attente, validee, refusee)
☐ Relations belongsTo Employe et Gestionnaire</t>
  </si>
  <si>
    <t>Développer le formulaire de demande d'absence (employé)</t>
  </si>
  <si>
    <t>Période + motif + soumission.
User Story liée : US-050</t>
  </si>
  <si>
    <t>☐ Form Request (dates cohérentes, motif obligatoire)
☐ Vue create
☐ Redirection + message flash</t>
  </si>
  <si>
    <t>Détecter les chevauchements d'absences</t>
  </si>
  <si>
    <t>Refuser ou avertir si la période entre en conflit.
User Story liée : US-051</t>
  </si>
  <si>
    <t>☐ Query de détection
☐ Avertissement UI
☐ Test feature</t>
  </si>
  <si>
    <t>Envoyer une notification au gestionnaire</t>
  </si>
  <si>
    <t>Notification Laravel via canal database + mail.
User Story liée : US-050</t>
  </si>
  <si>
    <t>☐ Classe Notification
☐ Template email
☐ Widget cloche dans le header</t>
  </si>
  <si>
    <t>Must, Backend, Frontend</t>
  </si>
  <si>
    <t>Développer la liste des demandes en attente (gestionnaire)</t>
  </si>
  <si>
    <t>Tableau filtrable et paginé.
User Story liée : US-052</t>
  </si>
  <si>
    <t>☐ Query where statut=en_attente
☐ Filtres employé/date
☐ Action Voir / Valider / Refuser</t>
  </si>
  <si>
    <t>Implémenter l'action Valider / Refuser</t>
  </si>
  <si>
    <t>Mise à jour du statut + notification à l'employé.
User Story liée : US-053</t>
  </si>
  <si>
    <t>☐ Méthodes validate() et reject()
☐ Commentaire optionnel
☐ Notification Employe
☐ Test feature</t>
  </si>
  <si>
    <t>Historique des demandes (employé)</t>
  </si>
  <si>
    <t>Vue de suivi des demandes avec leur statut.
User Story liée : US-054</t>
  </si>
  <si>
    <t>☐ Vue index scoped par employé
☐ Tri par date décroissante
☐ Badge de statut colorié</t>
  </si>
  <si>
    <t>Relance manuelle d'une notification non envoyée</t>
  </si>
  <si>
    <t>Bouton pour renvoyer une notification échouée.
User Story liée : US-055</t>
  </si>
  <si>
    <t>☐ Queue des notifications
☐ Bouton Renvoyer
☐ Log de relance</t>
  </si>
  <si>
    <t>Could, Backend</t>
  </si>
  <si>
    <t>Sprint 5 — Consultations &amp; Rapports</t>
  </si>
  <si>
    <t>Développer l'historique complet des pointages</t>
  </si>
  <si>
    <t>Tableau paginé et filtrable par employé, date et type.
User Story liée : US-060</t>
  </si>
  <si>
    <t>☐ Service PointageQueryService
☐ Vue index des pointages
☐ Filtres combinés
☐ Pagination + tri</t>
  </si>
  <si>
    <t>Développer les filtres avancés</t>
  </si>
  <si>
    <t>Filtres shareables via URL.
User Story liée : US-061</t>
  </si>
  <si>
    <t>☐ Query strings persistées
☐ Reset filtres
☐ Message Aucun résultat</t>
  </si>
  <si>
    <t>Créer le service RetardService</t>
  </si>
  <si>
    <t>Calcule retards et départs anticipés selon JoursTravail.
User Story liée : US-062</t>
  </si>
  <si>
    <t>☐ Comparer heure réelle vs théorique
☐ Retourner écart en minutes
☐ Tests unitaires exhaustifs</t>
  </si>
  <si>
    <t>Développer la vue retards &amp; départs anticipés</t>
  </si>
  <si>
    <t>Liste avec filtres et tri.
User Story liée : US-062</t>
  </si>
  <si>
    <t>☐ Vue index
☐ Filtres employé/date
☐ Export rapide</t>
  </si>
  <si>
    <t>Gérer le cas horaires non configurés</t>
  </si>
  <si>
    <t>Avertir et rediriger vers la configuration.
User Story liée : US-063</t>
  </si>
  <si>
    <t>☐ Vérification au chargement
☐ Message + bouton Configurer</t>
  </si>
  <si>
    <t>Installer et configurer barryvdh/laravel-dompdf</t>
  </si>
  <si>
    <t>Préparer l'export PDF.
User Story liée : US-070</t>
  </si>
  <si>
    <t>☐ composer require barryvdh/laravel-dompdf
☐ Publier la config
☐ Créer un template de base</t>
  </si>
  <si>
    <t>Installer et configurer maatwebsite/excel</t>
  </si>
  <si>
    <t>Préparer l'export Excel.
User Story liée : US-071</t>
  </si>
  <si>
    <t>☐ composer require maatwebsite/excel
☐ Publier la config
☐ Créer un export de test</t>
  </si>
  <si>
    <t>Créer le template PDF du rapport de présences</t>
  </si>
  <si>
    <t>Template Blade avec en-tête, logo, tableau des pointages.
User Story liée : US-070</t>
  </si>
  <si>
    <t>☐ Layout PDF
☐ Logo en en-tête
☐ Tableau stylisé
☐ Pied de page avec numéros</t>
  </si>
  <si>
    <t>Créer l'export Excel du rapport de présences</t>
  </si>
  <si>
    <t>Classe Export maatwebsite avec mise en forme.
User Story liée : US-071</t>
  </si>
  <si>
    <t>☐ Class RapportPresenceExport
☐ Colonnes définies
☐ Mise en forme (bold header, filters)</t>
  </si>
  <si>
    <t>Développer l'interface de génération de rapports</t>
  </si>
  <si>
    <t>Sélecteur période + type + format.
User Story liée : US-072</t>
  </si>
  <si>
    <t>☐ Vue rapports
☐ Form Request
☐ Téléchargement direct</t>
  </si>
  <si>
    <t>Gérer le cas rapport vide</t>
  </si>
  <si>
    <t>Générer un document avec la mention Aucune donnée disponible.
User Story liée : US-073</t>
  </si>
  <si>
    <t>☐ Condition dans le service
☐ Mention visible sur le document</t>
  </si>
  <si>
    <t>Tests feature des exports</t>
  </si>
  <si>
    <t>Vérifier que les fichiers sont générés correctement.
User Story liée : US-070/71</t>
  </si>
  <si>
    <t>☐ Test génération PDF
☐ Test génération Excel
☐ Test cas vide</t>
  </si>
  <si>
    <t>Sprint 6 — Salaire &amp; Administration</t>
  </si>
  <si>
    <t>Créer le service PayrollService</t>
  </si>
  <si>
    <t>Calcul brut → déductions → net ajusté.
User Story liée : US-081</t>
  </si>
  <si>
    <t>☐ Méthode calculerSalaireBrut
☐ Méthode calculerDeductions (retards, absences, départs)
☐ Méthode calculerNet
☐ Tests unitaires exhaustifs</t>
  </si>
  <si>
    <t>Développer la vue Mon Salaire (employé)</t>
  </si>
  <si>
    <t>Sélecteur de mois + récapitulatif détaillé.
User Story liée : US-080</t>
  </si>
  <si>
    <t>☐ Sélecteur de mois
☐ Tableau détaillé ligne par ligne
☐ Affichage brut/déductions/net</t>
  </si>
  <si>
    <t>Export PDF du récapitulatif salaire</t>
  </si>
  <si>
    <t>Bouton Télécharger PDF.
User Story liée : US-082</t>
  </si>
  <si>
    <t>☐ Template PDF salaire
☐ Mise en forme propre
☐ Mention personnelle</t>
  </si>
  <si>
    <t>Gérer le cas données incomplètes</t>
  </si>
  <si>
    <t>Alerte + calcul partiel.
User Story liée : US-083</t>
  </si>
  <si>
    <t>☐ Détection données manquantes
☐ Message d'avertissement
☐ Lien contact administrateur</t>
  </si>
  <si>
    <t>Développer le CRUD gestionnaires (admin)</t>
  </si>
  <si>
    <t>Ajout, modification, suppression de comptes gestionnaires.
User Story liée : US-090</t>
  </si>
  <si>
    <t>☐ Contrôleur GestionnaireController
☐ Vérification email unique
☐ Mot de passe temporaire
☐ Vérif demandes en cours avant suppression</t>
  </si>
  <si>
    <t>Installer spatie/laravel-activitylog</t>
  </si>
  <si>
    <t>Logger automatiquement les actions.
User Story liée : US-091</t>
  </si>
  <si>
    <t>☐ composer require spatie/laravel-activitylog
☐ Publier la migration
☐ Configurer les modèles loggés
☐ Ajouter le trait LogsActivity</t>
  </si>
  <si>
    <t>Développer la page de consultation des logs</t>
  </si>
  <si>
    <t>Tableau paginé avec filtres.
User Story liée : US-091</t>
  </si>
  <si>
    <t>☐ Vue logs
☐ Filtres date/user/action
☐ Détail en modale</t>
  </si>
  <si>
    <t>Export logs CSV</t>
  </si>
  <si>
    <t>Export pour archivage.
User Story liée : US-092</t>
  </si>
  <si>
    <t>☐ Classe LogsCsvExport
☐ Sélection de période
☐ Téléchargement direct</t>
  </si>
  <si>
    <t>Export logs PDF et TXT</t>
  </si>
  <si>
    <t>Formats alternatifs.
User Story liée : US-092</t>
  </si>
  <si>
    <t>☐ Export PDF via dompdf
☐ Export TXT brut
☐ Sélecteur de format</t>
  </si>
  <si>
    <t>Développer le tableau de bord KPI</t>
  </si>
  <si>
    <t>Cartes avec compteurs clés.
User Story liée : US-100</t>
  </si>
  <si>
    <t>☐ Présents du jour
☐ Retards du jour
☐ Absents
☐ Demandes en attente</t>
  </si>
  <si>
    <t>Intégrer Chart.js et produire les graphiques</t>
  </si>
  <si>
    <t>Graphes d'évolution et de répartition.
User Story liée : US-101</t>
  </si>
  <si>
    <t>☐ npm install chart.js
☐ Courbe présences sur 30 jours
☐ Camembert répartition statuts
☐ Filtre période</t>
  </si>
  <si>
    <t>Widget alertes en en-tête du dashboard</t>
  </si>
  <si>
    <t>Affichage priorisé des alertes.
User Story liée : US-102</t>
  </si>
  <si>
    <t>☐ Composant Alertes
☐ Priorisation par gravité
☐ Auto-refresh</t>
  </si>
  <si>
    <t>Sprint 7 — Qualité, Sécurité &amp; Performance</t>
  </si>
  <si>
    <t>Rédiger les tests unitaires des services métier</t>
  </si>
  <si>
    <t>Couvrir PayrollService, RetardService, FaceRecognitionService.
User Story liée : US-110</t>
  </si>
  <si>
    <t>☐ Tests PayrollService
☐ Tests RetardService
☐ Tests FaceRecognitionService (mock)
☐ Couverture &gt; 70%</t>
  </si>
  <si>
    <t>Rédiger les tests feature des UC critiques</t>
  </si>
  <si>
    <t>UC-01, UC-02, UC-03, UC-05, UC-09.
User Story liée : US-111</t>
  </si>
  <si>
    <t>☐ Tests complets par UC
☐ Scénarios nominaux + alternatifs + exceptions
☐ Pest ou PHPUnit</t>
  </si>
  <si>
    <t>Configurer GitHub Actions (CI)</t>
  </si>
  <si>
    <t>Exécution automatique des tests à chaque PR.
User Story liée : US-111</t>
  </si>
  <si>
    <t>☐ Fichier .github/workflows/tests.yml
☐ PHP 8.3 + MySQL service
☐ Badge dans le README</t>
  </si>
  <si>
    <t>Installer Laravel Debugbar et profiler les pages</t>
  </si>
  <si>
    <t>Identifier les goulots d'étranglement.
User Story liée : US-112</t>
  </si>
  <si>
    <t>☐ composer require --dev barryvdh/laravel-debugbar
☐ Profiler les 10 pages principales
☐ Lister les requêtes lentes</t>
  </si>
  <si>
    <t>Corriger les requêtes N+1 et ajouter les index BDD</t>
  </si>
  <si>
    <t>Optimiser les performances BDD.
User Story liée : US-112</t>
  </si>
  <si>
    <t>☐ Eager loading systématique
☐ Index sur date, employe_id, statut
☐ Benchmark avant/après</t>
  </si>
  <si>
    <t>Mettre en cache config, routes et vues</t>
  </si>
  <si>
    <t>Accélérer le démarrage en production.
User Story liée : US-112</t>
  </si>
  <si>
    <t>☐ php artisan config:cache
☐ php artisan route:cache
☐ php artisan view:cache
☐ Documenter la procédure</t>
  </si>
  <si>
    <t>Audit CSRF / XSS / SQL injection</t>
  </si>
  <si>
    <t>Vérification sécurité.
User Story liée : US-113</t>
  </si>
  <si>
    <t>☐ Vérifier CSRF sur tous les forms
☐ Vérifier échappement Blade ({{ }})
☐ Vérifier Eloquent / prepared statements
☐ Ajouter headers sécurité (X-Frame-Options, CSP)</t>
  </si>
  <si>
    <t>Effectuer les tests de charge (k6)</t>
  </si>
  <si>
    <t>Valider ≥ 50 pointages simultanés.
User Story liée : US-114</t>
  </si>
  <si>
    <t>☐ Script k6 de pointage
☐ Rapport de charge
☐ Optimisations si besoin</t>
  </si>
  <si>
    <t>Should, Test, DevOps</t>
  </si>
  <si>
    <t>Conformité CDP Sénégal (données biométriques)</t>
  </si>
  <si>
    <t>Registre et politique de confidentialité.
User Story liée : US-115</t>
  </si>
  <si>
    <t>☐ Registre des traitements
☐ Politique de confidentialité
☐ Checklist de conformité</t>
  </si>
  <si>
    <t>Sprint 8 — Déploiement &amp; Documentation</t>
  </si>
  <si>
    <t>Préparer le serveur de production (local)</t>
  </si>
  <si>
    <t>Installer Nginx, PHP-FPM, MySQL.
User Story liée : US-120</t>
  </si>
  <si>
    <t>☐ Nginx + vhost
☐ PHP-FPM 8.3 + extensions
☐ MySQL 8
☐ Permissions sur storage/ et bootstrap/cache</t>
  </si>
  <si>
    <t>Configurer HTTPS local (mkcert)</t>
  </si>
  <si>
    <t>Certificat SSL pour le serveur local.
User Story liée : US-120</t>
  </si>
  <si>
    <t>☐ Installer mkcert
☐ Générer le certificat
☐ Configurer Nginx
☐ Tester https://</t>
  </si>
  <si>
    <t>Écrire le script de déploiement</t>
  </si>
  <si>
    <t>Automatiser la mise en production.
User Story liée : US-121</t>
  </si>
  <si>
    <t>☐ deploy.sh (git pull, migrate, cache)
☐ Rollback possible
☐ Documenter</t>
  </si>
  <si>
    <t>Rédiger la documentation technique</t>
  </si>
  <si>
    <t>README + archi + API + conventions.
User Story liée : US-122</t>
  </si>
  <si>
    <t>☐ README final
☐ Schéma d'architecture (Mermaid/PlantUML)
☐ Documentation API (OpenAPI)
☐ MCD de la BDD
☐ Conventions de code</t>
  </si>
  <si>
    <t>Rédiger le manuel utilisateur — Employé</t>
  </si>
  <si>
    <t>Guide PDF illustré.
User Story liée : US-123</t>
  </si>
  <si>
    <t>☐ Écrans de connexion
☐ Pointage
☐ Demande d'absence
☐ Consulter le salaire</t>
  </si>
  <si>
    <t>Rédiger le manuel utilisateur — Consultant</t>
  </si>
  <si>
    <t>☐ Consulter employés
☐ Consulter pointages
☐ Consulter retards
☐ Exporter rapports</t>
  </si>
  <si>
    <t>Rédiger le manuel utilisateur — Gestionnaire</t>
  </si>
  <si>
    <t>☐ Gestion employés
☐ Traitement absences
☐ Exports</t>
  </si>
  <si>
    <t>Rédiger le manuel utilisateur — Administrateur</t>
  </si>
  <si>
    <t>☐ Gestion gestionnaires
☐ Jours de travail
☐ Logs système
☐ Tableau de bord</t>
  </si>
  <si>
    <t>Préparer la présentation de soutenance</t>
  </si>
  <si>
    <t>PowerPoint + démo.
User Story liée : US-124</t>
  </si>
  <si>
    <t>☐ Slides problématique/objectifs
☐ Slides architecture
☐ Captures d'écran
☐ Démo scénarisée de 10 min</t>
  </si>
  <si>
    <t>Répétition générale et Q/R</t>
  </si>
  <si>
    <t>Se préparer aux questions du jury.
User Story liée : US-124</t>
  </si>
  <si>
    <t>☐ Répétition équipe complète
☐ Anticiper les questions
☐ Préparer un plan B en cas de panne démo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</si>
</sst>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0079B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079BF"/>
        <bgColor rgb="FF008080"/>
      </patternFill>
    </fill>
    <fill>
      <patternFill patternType="solid">
        <fgColor rgb="FFEB5A46"/>
        <bgColor rgb="FFFF8080"/>
      </patternFill>
    </fill>
    <fill>
      <patternFill patternType="solid">
        <fgColor rgb="FFF2D600"/>
        <bgColor rgb="FFFFFF00"/>
      </patternFill>
    </fill>
    <fill>
      <patternFill patternType="solid">
        <fgColor rgb="FFE4E9F2"/>
        <bgColor rgb="FFCCFFFF"/>
      </patternFill>
    </fill>
    <fill>
      <patternFill patternType="solid">
        <fgColor rgb="FF61BD4F"/>
        <bgColor rgb="FF99CC00"/>
      </patternFill>
    </fill>
  </fills>
  <borders count="2">
    <border>
      <left/>
      <right/>
      <top/>
      <bottom/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1C7D0"/>
      <rgbColor rgb="FF808080"/>
      <rgbColor rgb="FF9999FF"/>
      <rgbColor rgb="FF993366"/>
      <rgbColor rgb="FFFFFFCC"/>
      <rgbColor rgb="FFE4E9F2"/>
      <rgbColor rgb="FF660066"/>
      <rgbColor rgb="FFFF8080"/>
      <rgbColor rgb="FF0079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2D600"/>
      <rgbColor rgb="FFFF9900"/>
      <rgbColor rgb="FFEB5A46"/>
      <rgbColor rgb="FF666699"/>
      <rgbColor rgb="FF969696"/>
      <rgbColor rgb="FF003366"/>
      <rgbColor rgb="FF61BD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showGridLines="0" zoomScaleNormal="100" workbookViewId="0"/>
  </sheetViews>
  <sheetFormatPr defaultColWidth="8.6640625" defaultRowHeight="14.4" x14ac:dyDescent="0.3"/>
  <cols>
    <col min="1" max="1" width="100" customWidth="1"/>
  </cols>
  <sheetData>
    <row r="1" spans="1:4" ht="27.75" customHeight="1" x14ac:dyDescent="0.3">
      <c r="A1" s="2" t="s">
        <v>0</v>
      </c>
      <c r="B1" s="2"/>
      <c r="C1" s="2"/>
      <c r="D1" s="2"/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</sheetData>
  <mergeCells count="2">
    <mergeCell ref="A1:D1"/>
    <mergeCell ref="A2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tabSelected="1" topLeftCell="B1" zoomScaleNormal="100" workbookViewId="0">
      <pane ySplit="3" topLeftCell="A9" activePane="bottomLeft" state="frozen"/>
      <selection pane="bottomLeft" activeCell="D7" sqref="D7"/>
    </sheetView>
  </sheetViews>
  <sheetFormatPr defaultColWidth="8.6640625" defaultRowHeight="14.4" x14ac:dyDescent="0.3"/>
  <cols>
    <col min="1" max="1" width="5" customWidth="1"/>
    <col min="2" max="2" width="40" customWidth="1"/>
    <col min="3" max="4" width="55" customWidth="1"/>
    <col min="5" max="5" width="22" customWidth="1"/>
    <col min="6" max="6" width="12" customWidth="1"/>
  </cols>
  <sheetData>
    <row r="1" spans="1:6" ht="27.75" customHeight="1" x14ac:dyDescent="0.3">
      <c r="A1" s="2" t="s">
        <v>1</v>
      </c>
      <c r="B1" s="2"/>
      <c r="C1" s="2"/>
      <c r="D1" s="2"/>
      <c r="E1" s="2"/>
      <c r="F1" s="2"/>
    </row>
    <row r="3" spans="1: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99.75" customHeight="1" x14ac:dyDescent="0.3">
      <c r="A4" s="4">
        <v>1</v>
      </c>
      <c r="B4" s="5" t="s">
        <v>8</v>
      </c>
      <c r="C4" s="6" t="s">
        <v>9</v>
      </c>
      <c r="D4" s="6" t="s">
        <v>10</v>
      </c>
      <c r="E4" s="7" t="s">
        <v>11</v>
      </c>
      <c r="F4" s="4">
        <v>2</v>
      </c>
    </row>
    <row r="5" spans="1:6" ht="99.75" customHeight="1" x14ac:dyDescent="0.3">
      <c r="A5" s="4">
        <v>2</v>
      </c>
      <c r="B5" s="5" t="s">
        <v>12</v>
      </c>
      <c r="C5" s="6" t="s">
        <v>13</v>
      </c>
      <c r="D5" s="6" t="s">
        <v>14</v>
      </c>
      <c r="E5" s="7" t="s">
        <v>15</v>
      </c>
      <c r="F5" s="4">
        <v>2</v>
      </c>
    </row>
    <row r="6" spans="1:6" ht="99.75" customHeight="1" x14ac:dyDescent="0.3">
      <c r="A6" s="4">
        <v>3</v>
      </c>
      <c r="B6" s="5" t="s">
        <v>16</v>
      </c>
      <c r="C6" s="6" t="s">
        <v>17</v>
      </c>
      <c r="D6" s="6" t="s">
        <v>18</v>
      </c>
      <c r="E6" s="7" t="s">
        <v>15</v>
      </c>
      <c r="F6" s="4">
        <v>3</v>
      </c>
    </row>
    <row r="7" spans="1:6" ht="99.75" customHeight="1" x14ac:dyDescent="0.3">
      <c r="A7" s="4">
        <v>4</v>
      </c>
      <c r="B7" s="5" t="s">
        <v>19</v>
      </c>
      <c r="C7" s="6" t="s">
        <v>20</v>
      </c>
      <c r="D7" s="6" t="s">
        <v>21</v>
      </c>
      <c r="E7" s="7" t="s">
        <v>22</v>
      </c>
      <c r="F7" s="4">
        <v>3</v>
      </c>
    </row>
    <row r="8" spans="1:6" ht="99.75" customHeight="1" x14ac:dyDescent="0.3">
      <c r="A8" s="4">
        <v>5</v>
      </c>
      <c r="B8" s="5" t="s">
        <v>23</v>
      </c>
      <c r="C8" s="6" t="s">
        <v>24</v>
      </c>
      <c r="D8" s="6" t="s">
        <v>25</v>
      </c>
      <c r="E8" s="7" t="s">
        <v>22</v>
      </c>
      <c r="F8" s="4">
        <v>1</v>
      </c>
    </row>
    <row r="9" spans="1:6" ht="99.75" customHeight="1" x14ac:dyDescent="0.3">
      <c r="A9" s="4">
        <v>6</v>
      </c>
      <c r="B9" s="5" t="s">
        <v>26</v>
      </c>
      <c r="C9" s="6" t="s">
        <v>27</v>
      </c>
      <c r="D9" s="6" t="s">
        <v>28</v>
      </c>
      <c r="E9" s="7" t="s">
        <v>29</v>
      </c>
      <c r="F9" s="4">
        <v>1</v>
      </c>
    </row>
    <row r="10" spans="1:6" ht="99.75" customHeight="1" x14ac:dyDescent="0.3">
      <c r="A10" s="4">
        <v>7</v>
      </c>
      <c r="B10" s="5" t="s">
        <v>30</v>
      </c>
      <c r="C10" s="6" t="s">
        <v>31</v>
      </c>
      <c r="D10" s="6" t="s">
        <v>32</v>
      </c>
      <c r="E10" s="7" t="s">
        <v>33</v>
      </c>
      <c r="F10" s="4">
        <v>1</v>
      </c>
    </row>
    <row r="11" spans="1:6" ht="99.75" customHeight="1" x14ac:dyDescent="0.3">
      <c r="A11" s="4">
        <v>8</v>
      </c>
      <c r="B11" s="5" t="s">
        <v>34</v>
      </c>
      <c r="C11" s="6" t="s">
        <v>35</v>
      </c>
      <c r="D11" s="6" t="s">
        <v>36</v>
      </c>
      <c r="E11" s="8" t="s">
        <v>37</v>
      </c>
      <c r="F11" s="4">
        <v>3</v>
      </c>
    </row>
    <row r="12" spans="1:6" x14ac:dyDescent="0.3">
      <c r="E12" s="9" t="s">
        <v>38</v>
      </c>
      <c r="F12" s="9">
        <f>SUM(F4:F11)</f>
        <v>16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40" customWidth="1"/>
    <col min="3" max="4" width="55" customWidth="1"/>
    <col min="5" max="5" width="22" customWidth="1"/>
    <col min="6" max="6" width="12" customWidth="1"/>
  </cols>
  <sheetData>
    <row r="1" spans="1:6" ht="27.75" customHeight="1" x14ac:dyDescent="0.3">
      <c r="A1" s="2" t="s">
        <v>39</v>
      </c>
      <c r="B1" s="2"/>
      <c r="C1" s="2"/>
      <c r="D1" s="2"/>
      <c r="E1" s="2"/>
      <c r="F1" s="2"/>
    </row>
    <row r="3" spans="1: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99.75" customHeight="1" x14ac:dyDescent="0.3">
      <c r="A4" s="4">
        <v>1</v>
      </c>
      <c r="B4" s="5" t="s">
        <v>40</v>
      </c>
      <c r="C4" s="6" t="s">
        <v>41</v>
      </c>
      <c r="D4" s="6" t="s">
        <v>42</v>
      </c>
      <c r="E4" s="7" t="s">
        <v>15</v>
      </c>
      <c r="F4" s="4">
        <v>2</v>
      </c>
    </row>
    <row r="5" spans="1:6" ht="99.75" customHeight="1" x14ac:dyDescent="0.3">
      <c r="A5" s="4">
        <v>2</v>
      </c>
      <c r="B5" s="5" t="s">
        <v>43</v>
      </c>
      <c r="C5" s="6" t="s">
        <v>44</v>
      </c>
      <c r="D5" s="6" t="s">
        <v>45</v>
      </c>
      <c r="E5" s="7" t="s">
        <v>15</v>
      </c>
      <c r="F5" s="4">
        <v>2</v>
      </c>
    </row>
    <row r="6" spans="1:6" ht="99.75" customHeight="1" x14ac:dyDescent="0.3">
      <c r="A6" s="4">
        <v>3</v>
      </c>
      <c r="B6" s="5" t="s">
        <v>46</v>
      </c>
      <c r="C6" s="6" t="s">
        <v>47</v>
      </c>
      <c r="D6" s="6" t="s">
        <v>48</v>
      </c>
      <c r="E6" s="7" t="s">
        <v>15</v>
      </c>
      <c r="F6" s="4">
        <v>5</v>
      </c>
    </row>
    <row r="7" spans="1:6" ht="99.75" customHeight="1" x14ac:dyDescent="0.3">
      <c r="A7" s="4">
        <v>4</v>
      </c>
      <c r="B7" s="5" t="s">
        <v>49</v>
      </c>
      <c r="C7" s="6" t="s">
        <v>50</v>
      </c>
      <c r="D7" s="6" t="s">
        <v>51</v>
      </c>
      <c r="E7" s="7" t="s">
        <v>15</v>
      </c>
      <c r="F7" s="4">
        <v>3</v>
      </c>
    </row>
    <row r="8" spans="1:6" ht="99.75" customHeight="1" x14ac:dyDescent="0.3">
      <c r="A8" s="4">
        <v>5</v>
      </c>
      <c r="B8" s="5" t="s">
        <v>52</v>
      </c>
      <c r="C8" s="6" t="s">
        <v>53</v>
      </c>
      <c r="D8" s="6" t="s">
        <v>54</v>
      </c>
      <c r="E8" s="7" t="s">
        <v>22</v>
      </c>
      <c r="F8" s="4">
        <v>2</v>
      </c>
    </row>
    <row r="9" spans="1:6" ht="99.75" customHeight="1" x14ac:dyDescent="0.3">
      <c r="A9" s="4">
        <v>6</v>
      </c>
      <c r="B9" s="5" t="s">
        <v>55</v>
      </c>
      <c r="C9" s="6" t="s">
        <v>56</v>
      </c>
      <c r="D9" s="6" t="s">
        <v>57</v>
      </c>
      <c r="E9" s="7" t="s">
        <v>58</v>
      </c>
      <c r="F9" s="4">
        <v>2</v>
      </c>
    </row>
    <row r="10" spans="1:6" ht="99.75" customHeight="1" x14ac:dyDescent="0.3">
      <c r="A10" s="4">
        <v>7</v>
      </c>
      <c r="B10" s="5" t="s">
        <v>59</v>
      </c>
      <c r="C10" s="6" t="s">
        <v>60</v>
      </c>
      <c r="D10" s="6" t="s">
        <v>61</v>
      </c>
      <c r="E10" s="8" t="s">
        <v>37</v>
      </c>
      <c r="F10" s="4">
        <v>3</v>
      </c>
    </row>
    <row r="11" spans="1:6" ht="99.75" customHeight="1" x14ac:dyDescent="0.3">
      <c r="A11" s="4">
        <v>8</v>
      </c>
      <c r="B11" s="5" t="s">
        <v>62</v>
      </c>
      <c r="C11" s="6" t="s">
        <v>63</v>
      </c>
      <c r="D11" s="6" t="s">
        <v>64</v>
      </c>
      <c r="E11" s="7" t="s">
        <v>58</v>
      </c>
      <c r="F11" s="4">
        <v>2</v>
      </c>
    </row>
    <row r="12" spans="1:6" ht="99.75" customHeight="1" x14ac:dyDescent="0.3">
      <c r="A12" s="4">
        <v>9</v>
      </c>
      <c r="B12" s="5" t="s">
        <v>65</v>
      </c>
      <c r="C12" s="6" t="s">
        <v>66</v>
      </c>
      <c r="D12" s="6" t="s">
        <v>67</v>
      </c>
      <c r="E12" s="7" t="s">
        <v>58</v>
      </c>
      <c r="F12" s="4">
        <v>3</v>
      </c>
    </row>
    <row r="13" spans="1:6" ht="99.75" customHeight="1" x14ac:dyDescent="0.3">
      <c r="A13" s="4">
        <v>10</v>
      </c>
      <c r="B13" s="5" t="s">
        <v>68</v>
      </c>
      <c r="C13" s="6" t="s">
        <v>69</v>
      </c>
      <c r="D13" s="6" t="s">
        <v>70</v>
      </c>
      <c r="E13" s="7" t="s">
        <v>22</v>
      </c>
      <c r="F13" s="4">
        <v>5</v>
      </c>
    </row>
    <row r="14" spans="1:6" ht="99.75" customHeight="1" x14ac:dyDescent="0.3">
      <c r="A14" s="4">
        <v>11</v>
      </c>
      <c r="B14" s="5" t="s">
        <v>71</v>
      </c>
      <c r="C14" s="6" t="s">
        <v>72</v>
      </c>
      <c r="D14" s="6" t="s">
        <v>73</v>
      </c>
      <c r="E14" s="7" t="s">
        <v>58</v>
      </c>
      <c r="F14" s="4">
        <v>1</v>
      </c>
    </row>
    <row r="15" spans="1:6" x14ac:dyDescent="0.3">
      <c r="E15" s="9" t="s">
        <v>38</v>
      </c>
      <c r="F15" s="9">
        <f>SUM(F4:F14)</f>
        <v>30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40" customWidth="1"/>
    <col min="3" max="4" width="55" customWidth="1"/>
    <col min="5" max="5" width="22" customWidth="1"/>
    <col min="6" max="6" width="12" customWidth="1"/>
  </cols>
  <sheetData>
    <row r="1" spans="1:6" ht="27.75" customHeight="1" x14ac:dyDescent="0.3">
      <c r="A1" s="2" t="s">
        <v>74</v>
      </c>
      <c r="B1" s="2"/>
      <c r="C1" s="2"/>
      <c r="D1" s="2"/>
      <c r="E1" s="2"/>
      <c r="F1" s="2"/>
    </row>
    <row r="3" spans="1: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99.75" customHeight="1" x14ac:dyDescent="0.3">
      <c r="A4" s="4">
        <v>1</v>
      </c>
      <c r="B4" s="5" t="s">
        <v>75</v>
      </c>
      <c r="C4" s="6" t="s">
        <v>76</v>
      </c>
      <c r="D4" s="6" t="s">
        <v>77</v>
      </c>
      <c r="E4" s="7" t="s">
        <v>15</v>
      </c>
      <c r="F4" s="4">
        <v>3</v>
      </c>
    </row>
    <row r="5" spans="1:6" ht="99.75" customHeight="1" x14ac:dyDescent="0.3">
      <c r="A5" s="4">
        <v>2</v>
      </c>
      <c r="B5" s="5" t="s">
        <v>78</v>
      </c>
      <c r="C5" s="6" t="s">
        <v>79</v>
      </c>
      <c r="D5" s="6" t="s">
        <v>80</v>
      </c>
      <c r="E5" s="7" t="s">
        <v>15</v>
      </c>
      <c r="F5" s="4">
        <v>2</v>
      </c>
    </row>
    <row r="6" spans="1:6" ht="99.75" customHeight="1" x14ac:dyDescent="0.3">
      <c r="A6" s="4">
        <v>3</v>
      </c>
      <c r="B6" s="5" t="s">
        <v>81</v>
      </c>
      <c r="C6" s="6" t="s">
        <v>82</v>
      </c>
      <c r="D6" s="6" t="s">
        <v>83</v>
      </c>
      <c r="E6" s="7" t="s">
        <v>15</v>
      </c>
      <c r="F6" s="4">
        <v>5</v>
      </c>
    </row>
    <row r="7" spans="1:6" ht="99.75" customHeight="1" x14ac:dyDescent="0.3">
      <c r="A7" s="4">
        <v>4</v>
      </c>
      <c r="B7" s="5" t="s">
        <v>84</v>
      </c>
      <c r="C7" s="6" t="s">
        <v>85</v>
      </c>
      <c r="D7" s="6" t="s">
        <v>86</v>
      </c>
      <c r="E7" s="7" t="s">
        <v>22</v>
      </c>
      <c r="F7" s="4">
        <v>5</v>
      </c>
    </row>
    <row r="8" spans="1:6" ht="99.75" customHeight="1" x14ac:dyDescent="0.3">
      <c r="A8" s="4">
        <v>5</v>
      </c>
      <c r="B8" s="5" t="s">
        <v>87</v>
      </c>
      <c r="C8" s="6" t="s">
        <v>88</v>
      </c>
      <c r="D8" s="6" t="s">
        <v>89</v>
      </c>
      <c r="E8" s="7" t="s">
        <v>15</v>
      </c>
      <c r="F8" s="4">
        <v>5</v>
      </c>
    </row>
    <row r="9" spans="1:6" ht="99.75" customHeight="1" x14ac:dyDescent="0.3">
      <c r="A9" s="4">
        <v>6</v>
      </c>
      <c r="B9" s="5" t="s">
        <v>90</v>
      </c>
      <c r="C9" s="6" t="s">
        <v>91</v>
      </c>
      <c r="D9" s="6" t="s">
        <v>92</v>
      </c>
      <c r="E9" s="7" t="s">
        <v>58</v>
      </c>
      <c r="F9" s="4">
        <v>2</v>
      </c>
    </row>
    <row r="10" spans="1:6" ht="99.75" customHeight="1" x14ac:dyDescent="0.3">
      <c r="A10" s="4">
        <v>7</v>
      </c>
      <c r="B10" s="5" t="s">
        <v>93</v>
      </c>
      <c r="C10" s="6" t="s">
        <v>94</v>
      </c>
      <c r="D10" s="6" t="s">
        <v>95</v>
      </c>
      <c r="E10" s="7" t="s">
        <v>96</v>
      </c>
      <c r="F10" s="4">
        <v>3</v>
      </c>
    </row>
    <row r="11" spans="1:6" ht="99.75" customHeight="1" x14ac:dyDescent="0.3">
      <c r="A11" s="4">
        <v>8</v>
      </c>
      <c r="B11" s="5" t="s">
        <v>97</v>
      </c>
      <c r="C11" s="6" t="s">
        <v>98</v>
      </c>
      <c r="D11" s="6" t="s">
        <v>99</v>
      </c>
      <c r="E11" s="7" t="s">
        <v>96</v>
      </c>
      <c r="F11" s="4">
        <v>3</v>
      </c>
    </row>
    <row r="12" spans="1:6" ht="99.75" customHeight="1" x14ac:dyDescent="0.3">
      <c r="A12" s="4">
        <v>9</v>
      </c>
      <c r="B12" s="5" t="s">
        <v>100</v>
      </c>
      <c r="C12" s="6" t="s">
        <v>101</v>
      </c>
      <c r="D12" s="6" t="s">
        <v>102</v>
      </c>
      <c r="E12" s="7" t="s">
        <v>22</v>
      </c>
      <c r="F12" s="4">
        <v>3</v>
      </c>
    </row>
    <row r="13" spans="1:6" ht="99.75" customHeight="1" x14ac:dyDescent="0.3">
      <c r="A13" s="4">
        <v>10</v>
      </c>
      <c r="B13" s="5" t="s">
        <v>103</v>
      </c>
      <c r="C13" s="6" t="s">
        <v>104</v>
      </c>
      <c r="D13" s="6" t="s">
        <v>105</v>
      </c>
      <c r="E13" s="8" t="s">
        <v>106</v>
      </c>
      <c r="F13" s="4">
        <v>2</v>
      </c>
    </row>
    <row r="14" spans="1:6" ht="99.75" customHeight="1" x14ac:dyDescent="0.3">
      <c r="A14" s="4">
        <v>11</v>
      </c>
      <c r="B14" s="5" t="s">
        <v>107</v>
      </c>
      <c r="C14" s="6" t="s">
        <v>108</v>
      </c>
      <c r="D14" s="6" t="s">
        <v>109</v>
      </c>
      <c r="E14" s="8" t="s">
        <v>110</v>
      </c>
      <c r="F14" s="4">
        <v>3</v>
      </c>
    </row>
    <row r="15" spans="1:6" ht="99.75" customHeight="1" x14ac:dyDescent="0.3">
      <c r="A15" s="4">
        <v>12</v>
      </c>
      <c r="B15" s="5" t="s">
        <v>111</v>
      </c>
      <c r="C15" s="6" t="s">
        <v>112</v>
      </c>
      <c r="D15" s="6" t="s">
        <v>113</v>
      </c>
      <c r="E15" s="7" t="s">
        <v>114</v>
      </c>
      <c r="F15" s="4">
        <v>3</v>
      </c>
    </row>
    <row r="16" spans="1:6" x14ac:dyDescent="0.3">
      <c r="E16" s="9" t="s">
        <v>38</v>
      </c>
      <c r="F16" s="9">
        <f>SUM(F4:F15)</f>
        <v>39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40" customWidth="1"/>
    <col min="3" max="4" width="55" customWidth="1"/>
    <col min="5" max="5" width="22" customWidth="1"/>
    <col min="6" max="6" width="12" customWidth="1"/>
  </cols>
  <sheetData>
    <row r="1" spans="1:6" ht="27.75" customHeight="1" x14ac:dyDescent="0.3">
      <c r="A1" s="2" t="s">
        <v>115</v>
      </c>
      <c r="B1" s="2"/>
      <c r="C1" s="2"/>
      <c r="D1" s="2"/>
      <c r="E1" s="2"/>
      <c r="F1" s="2"/>
    </row>
    <row r="3" spans="1: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99.75" customHeight="1" x14ac:dyDescent="0.3">
      <c r="A4" s="4">
        <v>1</v>
      </c>
      <c r="B4" s="5" t="s">
        <v>116</v>
      </c>
      <c r="C4" s="6" t="s">
        <v>117</v>
      </c>
      <c r="D4" s="6" t="s">
        <v>118</v>
      </c>
      <c r="E4" s="7" t="s">
        <v>11</v>
      </c>
      <c r="F4" s="4">
        <v>5</v>
      </c>
    </row>
    <row r="5" spans="1:6" ht="99.75" customHeight="1" x14ac:dyDescent="0.3">
      <c r="A5" s="4">
        <v>2</v>
      </c>
      <c r="B5" s="5" t="s">
        <v>119</v>
      </c>
      <c r="C5" s="6" t="s">
        <v>120</v>
      </c>
      <c r="D5" s="6" t="s">
        <v>121</v>
      </c>
      <c r="E5" s="7" t="s">
        <v>15</v>
      </c>
      <c r="F5" s="4">
        <v>3</v>
      </c>
    </row>
    <row r="6" spans="1:6" ht="99.75" customHeight="1" x14ac:dyDescent="0.3">
      <c r="A6" s="4">
        <v>3</v>
      </c>
      <c r="B6" s="5" t="s">
        <v>122</v>
      </c>
      <c r="C6" s="6" t="s">
        <v>123</v>
      </c>
      <c r="D6" s="6" t="s">
        <v>124</v>
      </c>
      <c r="E6" s="7" t="s">
        <v>15</v>
      </c>
      <c r="F6" s="4">
        <v>3</v>
      </c>
    </row>
    <row r="7" spans="1:6" ht="99.75" customHeight="1" x14ac:dyDescent="0.3">
      <c r="A7" s="4">
        <v>4</v>
      </c>
      <c r="B7" s="5" t="s">
        <v>125</v>
      </c>
      <c r="C7" s="6" t="s">
        <v>126</v>
      </c>
      <c r="D7" s="6" t="s">
        <v>127</v>
      </c>
      <c r="E7" s="7" t="s">
        <v>29</v>
      </c>
      <c r="F7" s="4">
        <v>3</v>
      </c>
    </row>
    <row r="8" spans="1:6" ht="99.75" customHeight="1" x14ac:dyDescent="0.3">
      <c r="A8" s="4">
        <v>5</v>
      </c>
      <c r="B8" s="5" t="s">
        <v>128</v>
      </c>
      <c r="C8" s="6" t="s">
        <v>129</v>
      </c>
      <c r="D8" s="6" t="s">
        <v>130</v>
      </c>
      <c r="E8" s="7" t="s">
        <v>58</v>
      </c>
      <c r="F8" s="4">
        <v>5</v>
      </c>
    </row>
    <row r="9" spans="1:6" ht="99.75" customHeight="1" x14ac:dyDescent="0.3">
      <c r="A9" s="4">
        <v>6</v>
      </c>
      <c r="B9" s="5" t="s">
        <v>131</v>
      </c>
      <c r="C9" s="6" t="s">
        <v>132</v>
      </c>
      <c r="D9" s="6" t="s">
        <v>133</v>
      </c>
      <c r="E9" s="7" t="s">
        <v>15</v>
      </c>
      <c r="F9" s="4">
        <v>3</v>
      </c>
    </row>
    <row r="10" spans="1:6" ht="99.75" customHeight="1" x14ac:dyDescent="0.3">
      <c r="A10" s="4">
        <v>7</v>
      </c>
      <c r="B10" s="5" t="s">
        <v>134</v>
      </c>
      <c r="C10" s="6" t="s">
        <v>135</v>
      </c>
      <c r="D10" s="6" t="s">
        <v>136</v>
      </c>
      <c r="E10" s="7" t="s">
        <v>22</v>
      </c>
      <c r="F10" s="4">
        <v>5</v>
      </c>
    </row>
    <row r="11" spans="1:6" ht="99.75" customHeight="1" x14ac:dyDescent="0.3">
      <c r="A11" s="4">
        <v>8</v>
      </c>
      <c r="B11" s="5" t="s">
        <v>137</v>
      </c>
      <c r="C11" s="6" t="s">
        <v>138</v>
      </c>
      <c r="D11" s="6" t="s">
        <v>139</v>
      </c>
      <c r="E11" s="7" t="s">
        <v>15</v>
      </c>
      <c r="F11" s="4">
        <v>5</v>
      </c>
    </row>
    <row r="12" spans="1:6" ht="99.75" customHeight="1" x14ac:dyDescent="0.3">
      <c r="A12" s="4">
        <v>9</v>
      </c>
      <c r="B12" s="5" t="s">
        <v>140</v>
      </c>
      <c r="C12" s="6" t="s">
        <v>141</v>
      </c>
      <c r="D12" s="6" t="s">
        <v>142</v>
      </c>
      <c r="E12" s="7" t="s">
        <v>58</v>
      </c>
      <c r="F12" s="4">
        <v>3</v>
      </c>
    </row>
    <row r="13" spans="1:6" ht="99.75" customHeight="1" x14ac:dyDescent="0.3">
      <c r="A13" s="4">
        <v>10</v>
      </c>
      <c r="B13" s="5" t="s">
        <v>143</v>
      </c>
      <c r="C13" s="6" t="s">
        <v>144</v>
      </c>
      <c r="D13" s="6" t="s">
        <v>145</v>
      </c>
      <c r="E13" s="7" t="s">
        <v>58</v>
      </c>
      <c r="F13" s="4">
        <v>2</v>
      </c>
    </row>
    <row r="14" spans="1:6" ht="99.75" customHeight="1" x14ac:dyDescent="0.3">
      <c r="A14" s="4">
        <v>11</v>
      </c>
      <c r="B14" s="5" t="s">
        <v>146</v>
      </c>
      <c r="C14" s="6" t="s">
        <v>147</v>
      </c>
      <c r="D14" s="6" t="s">
        <v>148</v>
      </c>
      <c r="E14" s="7" t="s">
        <v>149</v>
      </c>
      <c r="F14" s="4">
        <v>2</v>
      </c>
    </row>
    <row r="15" spans="1:6" ht="99.75" customHeight="1" x14ac:dyDescent="0.3">
      <c r="A15" s="4">
        <v>12</v>
      </c>
      <c r="B15" s="5" t="s">
        <v>150</v>
      </c>
      <c r="C15" s="6" t="s">
        <v>151</v>
      </c>
      <c r="D15" s="6" t="s">
        <v>152</v>
      </c>
      <c r="E15" s="8" t="s">
        <v>153</v>
      </c>
      <c r="F15" s="4">
        <v>5</v>
      </c>
    </row>
    <row r="16" spans="1:6" ht="99.75" customHeight="1" x14ac:dyDescent="0.3">
      <c r="A16" s="4">
        <v>13</v>
      </c>
      <c r="B16" s="5" t="s">
        <v>154</v>
      </c>
      <c r="C16" s="6" t="s">
        <v>155</v>
      </c>
      <c r="D16" s="6" t="s">
        <v>156</v>
      </c>
      <c r="E16" s="7" t="s">
        <v>114</v>
      </c>
      <c r="F16" s="4">
        <v>3</v>
      </c>
    </row>
    <row r="17" spans="1:6" ht="99.75" customHeight="1" x14ac:dyDescent="0.3">
      <c r="A17" s="4">
        <v>14</v>
      </c>
      <c r="B17" s="5" t="s">
        <v>157</v>
      </c>
      <c r="C17" s="6" t="s">
        <v>158</v>
      </c>
      <c r="D17" s="6" t="s">
        <v>159</v>
      </c>
      <c r="E17" s="7" t="s">
        <v>160</v>
      </c>
      <c r="F17" s="4">
        <v>3</v>
      </c>
    </row>
    <row r="18" spans="1:6" x14ac:dyDescent="0.3">
      <c r="E18" s="9" t="s">
        <v>38</v>
      </c>
      <c r="F18" s="9">
        <f>SUM(F4:F17)</f>
        <v>50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40" customWidth="1"/>
    <col min="3" max="4" width="55" customWidth="1"/>
    <col min="5" max="5" width="22" customWidth="1"/>
    <col min="6" max="6" width="12" customWidth="1"/>
  </cols>
  <sheetData>
    <row r="1" spans="1:6" ht="27.75" customHeight="1" x14ac:dyDescent="0.3">
      <c r="A1" s="2" t="s">
        <v>161</v>
      </c>
      <c r="B1" s="2"/>
      <c r="C1" s="2"/>
      <c r="D1" s="2"/>
      <c r="E1" s="2"/>
      <c r="F1" s="2"/>
    </row>
    <row r="3" spans="1: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99.75" customHeight="1" x14ac:dyDescent="0.3">
      <c r="A4" s="4">
        <v>1</v>
      </c>
      <c r="B4" s="5" t="s">
        <v>162</v>
      </c>
      <c r="C4" s="6" t="s">
        <v>163</v>
      </c>
      <c r="D4" s="6" t="s">
        <v>164</v>
      </c>
      <c r="E4" s="7" t="s">
        <v>15</v>
      </c>
      <c r="F4" s="4">
        <v>3</v>
      </c>
    </row>
    <row r="5" spans="1:6" ht="99.75" customHeight="1" x14ac:dyDescent="0.3">
      <c r="A5" s="4">
        <v>2</v>
      </c>
      <c r="B5" s="5" t="s">
        <v>165</v>
      </c>
      <c r="C5" s="6" t="s">
        <v>166</v>
      </c>
      <c r="D5" s="6" t="s">
        <v>167</v>
      </c>
      <c r="E5" s="7" t="s">
        <v>22</v>
      </c>
      <c r="F5" s="4">
        <v>3</v>
      </c>
    </row>
    <row r="6" spans="1:6" ht="99.75" customHeight="1" x14ac:dyDescent="0.3">
      <c r="A6" s="4">
        <v>3</v>
      </c>
      <c r="B6" s="5" t="s">
        <v>168</v>
      </c>
      <c r="C6" s="6" t="s">
        <v>169</v>
      </c>
      <c r="D6" s="6" t="s">
        <v>170</v>
      </c>
      <c r="E6" s="7" t="s">
        <v>58</v>
      </c>
      <c r="F6" s="4">
        <v>2</v>
      </c>
    </row>
    <row r="7" spans="1:6" ht="99.75" customHeight="1" x14ac:dyDescent="0.3">
      <c r="A7" s="4">
        <v>4</v>
      </c>
      <c r="B7" s="5" t="s">
        <v>171</v>
      </c>
      <c r="C7" s="6" t="s">
        <v>172</v>
      </c>
      <c r="D7" s="6" t="s">
        <v>173</v>
      </c>
      <c r="E7" s="8" t="s">
        <v>153</v>
      </c>
      <c r="F7" s="4">
        <v>2</v>
      </c>
    </row>
    <row r="8" spans="1:6" ht="99.75" customHeight="1" x14ac:dyDescent="0.3">
      <c r="A8" s="4">
        <v>5</v>
      </c>
      <c r="B8" s="5" t="s">
        <v>174</v>
      </c>
      <c r="C8" s="6" t="s">
        <v>175</v>
      </c>
      <c r="D8" s="6" t="s">
        <v>176</v>
      </c>
      <c r="E8" s="8" t="s">
        <v>106</v>
      </c>
      <c r="F8" s="4">
        <v>3</v>
      </c>
    </row>
    <row r="9" spans="1:6" ht="99.75" customHeight="1" x14ac:dyDescent="0.3">
      <c r="A9" s="4">
        <v>6</v>
      </c>
      <c r="B9" s="5" t="s">
        <v>177</v>
      </c>
      <c r="C9" s="6" t="s">
        <v>178</v>
      </c>
      <c r="D9" s="6" t="s">
        <v>179</v>
      </c>
      <c r="E9" s="7" t="s">
        <v>15</v>
      </c>
      <c r="F9" s="4">
        <v>3</v>
      </c>
    </row>
    <row r="10" spans="1:6" ht="99.75" customHeight="1" x14ac:dyDescent="0.3">
      <c r="A10" s="4">
        <v>7</v>
      </c>
      <c r="B10" s="5" t="s">
        <v>180</v>
      </c>
      <c r="C10" s="6" t="s">
        <v>181</v>
      </c>
      <c r="D10" s="6" t="s">
        <v>182</v>
      </c>
      <c r="E10" s="7" t="s">
        <v>149</v>
      </c>
      <c r="F10" s="4">
        <v>3</v>
      </c>
    </row>
    <row r="11" spans="1:6" ht="99.75" customHeight="1" x14ac:dyDescent="0.3">
      <c r="A11" s="4">
        <v>8</v>
      </c>
      <c r="B11" s="5" t="s">
        <v>183</v>
      </c>
      <c r="C11" s="6" t="s">
        <v>184</v>
      </c>
      <c r="D11" s="6" t="s">
        <v>185</v>
      </c>
      <c r="E11" s="7" t="s">
        <v>58</v>
      </c>
      <c r="F11" s="4">
        <v>3</v>
      </c>
    </row>
    <row r="12" spans="1:6" ht="99.75" customHeight="1" x14ac:dyDescent="0.3">
      <c r="A12" s="4">
        <v>9</v>
      </c>
      <c r="B12" s="5" t="s">
        <v>186</v>
      </c>
      <c r="C12" s="6" t="s">
        <v>187</v>
      </c>
      <c r="D12" s="6" t="s">
        <v>188</v>
      </c>
      <c r="E12" s="7" t="s">
        <v>189</v>
      </c>
      <c r="F12" s="4">
        <v>3</v>
      </c>
    </row>
    <row r="13" spans="1:6" ht="99.75" customHeight="1" x14ac:dyDescent="0.3">
      <c r="A13" s="4">
        <v>10</v>
      </c>
      <c r="B13" s="5" t="s">
        <v>190</v>
      </c>
      <c r="C13" s="6" t="s">
        <v>191</v>
      </c>
      <c r="D13" s="6" t="s">
        <v>192</v>
      </c>
      <c r="E13" s="7" t="s">
        <v>149</v>
      </c>
      <c r="F13" s="4">
        <v>3</v>
      </c>
    </row>
    <row r="14" spans="1:6" ht="99.75" customHeight="1" x14ac:dyDescent="0.3">
      <c r="A14" s="4">
        <v>11</v>
      </c>
      <c r="B14" s="5" t="s">
        <v>193</v>
      </c>
      <c r="C14" s="6" t="s">
        <v>194</v>
      </c>
      <c r="D14" s="6" t="s">
        <v>195</v>
      </c>
      <c r="E14" s="7" t="s">
        <v>58</v>
      </c>
      <c r="F14" s="4">
        <v>3</v>
      </c>
    </row>
    <row r="15" spans="1:6" ht="99.75" customHeight="1" x14ac:dyDescent="0.3">
      <c r="A15" s="4">
        <v>12</v>
      </c>
      <c r="B15" s="5" t="s">
        <v>196</v>
      </c>
      <c r="C15" s="6" t="s">
        <v>197</v>
      </c>
      <c r="D15" s="6" t="s">
        <v>198</v>
      </c>
      <c r="E15" s="8" t="s">
        <v>110</v>
      </c>
      <c r="F15" s="4">
        <v>2</v>
      </c>
    </row>
    <row r="16" spans="1:6" ht="99.75" customHeight="1" x14ac:dyDescent="0.3">
      <c r="A16" s="4">
        <v>13</v>
      </c>
      <c r="B16" s="5" t="s">
        <v>199</v>
      </c>
      <c r="C16" s="6" t="s">
        <v>200</v>
      </c>
      <c r="D16" s="6" t="s">
        <v>201</v>
      </c>
      <c r="E16" s="10" t="s">
        <v>202</v>
      </c>
      <c r="F16" s="4">
        <v>2</v>
      </c>
    </row>
    <row r="17" spans="5:6" x14ac:dyDescent="0.3">
      <c r="E17" s="9" t="s">
        <v>38</v>
      </c>
      <c r="F17" s="9">
        <f>SUM(F4:F16)</f>
        <v>35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40" customWidth="1"/>
    <col min="3" max="4" width="55" customWidth="1"/>
    <col min="5" max="5" width="22" customWidth="1"/>
    <col min="6" max="6" width="12" customWidth="1"/>
  </cols>
  <sheetData>
    <row r="1" spans="1:6" ht="27.75" customHeight="1" x14ac:dyDescent="0.3">
      <c r="A1" s="2" t="s">
        <v>203</v>
      </c>
      <c r="B1" s="2"/>
      <c r="C1" s="2"/>
      <c r="D1" s="2"/>
      <c r="E1" s="2"/>
      <c r="F1" s="2"/>
    </row>
    <row r="3" spans="1: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99.75" customHeight="1" x14ac:dyDescent="0.3">
      <c r="A4" s="4">
        <v>1</v>
      </c>
      <c r="B4" s="5" t="s">
        <v>204</v>
      </c>
      <c r="C4" s="6" t="s">
        <v>205</v>
      </c>
      <c r="D4" s="6" t="s">
        <v>206</v>
      </c>
      <c r="E4" s="7" t="s">
        <v>149</v>
      </c>
      <c r="F4" s="4">
        <v>5</v>
      </c>
    </row>
    <row r="5" spans="1:6" ht="99.75" customHeight="1" x14ac:dyDescent="0.3">
      <c r="A5" s="4">
        <v>2</v>
      </c>
      <c r="B5" s="5" t="s">
        <v>207</v>
      </c>
      <c r="C5" s="6" t="s">
        <v>208</v>
      </c>
      <c r="D5" s="6" t="s">
        <v>209</v>
      </c>
      <c r="E5" s="7" t="s">
        <v>149</v>
      </c>
      <c r="F5" s="4">
        <v>3</v>
      </c>
    </row>
    <row r="6" spans="1:6" ht="99.75" customHeight="1" x14ac:dyDescent="0.3">
      <c r="A6" s="4">
        <v>3</v>
      </c>
      <c r="B6" s="5" t="s">
        <v>210</v>
      </c>
      <c r="C6" s="6" t="s">
        <v>211</v>
      </c>
      <c r="D6" s="6" t="s">
        <v>212</v>
      </c>
      <c r="E6" s="7" t="s">
        <v>58</v>
      </c>
      <c r="F6" s="4">
        <v>5</v>
      </c>
    </row>
    <row r="7" spans="1:6" ht="99.75" customHeight="1" x14ac:dyDescent="0.3">
      <c r="A7" s="4">
        <v>4</v>
      </c>
      <c r="B7" s="5" t="s">
        <v>213</v>
      </c>
      <c r="C7" s="6" t="s">
        <v>214</v>
      </c>
      <c r="D7" s="6" t="s">
        <v>215</v>
      </c>
      <c r="E7" s="7" t="s">
        <v>22</v>
      </c>
      <c r="F7" s="4">
        <v>3</v>
      </c>
    </row>
    <row r="8" spans="1:6" ht="99.75" customHeight="1" x14ac:dyDescent="0.3">
      <c r="A8" s="4">
        <v>5</v>
      </c>
      <c r="B8" s="5" t="s">
        <v>216</v>
      </c>
      <c r="C8" s="6" t="s">
        <v>217</v>
      </c>
      <c r="D8" s="6" t="s">
        <v>218</v>
      </c>
      <c r="E8" s="7" t="s">
        <v>149</v>
      </c>
      <c r="F8" s="4">
        <v>2</v>
      </c>
    </row>
    <row r="9" spans="1:6" ht="99.75" customHeight="1" x14ac:dyDescent="0.3">
      <c r="A9" s="4">
        <v>6</v>
      </c>
      <c r="B9" s="5" t="s">
        <v>219</v>
      </c>
      <c r="C9" s="6" t="s">
        <v>220</v>
      </c>
      <c r="D9" s="6" t="s">
        <v>221</v>
      </c>
      <c r="E9" s="7" t="s">
        <v>15</v>
      </c>
      <c r="F9" s="4">
        <v>2</v>
      </c>
    </row>
    <row r="10" spans="1:6" ht="99.75" customHeight="1" x14ac:dyDescent="0.3">
      <c r="A10" s="4">
        <v>7</v>
      </c>
      <c r="B10" s="5" t="s">
        <v>222</v>
      </c>
      <c r="C10" s="6" t="s">
        <v>223</v>
      </c>
      <c r="D10" s="6" t="s">
        <v>224</v>
      </c>
      <c r="E10" s="7" t="s">
        <v>15</v>
      </c>
      <c r="F10" s="4">
        <v>2</v>
      </c>
    </row>
    <row r="11" spans="1:6" ht="99.75" customHeight="1" x14ac:dyDescent="0.3">
      <c r="A11" s="4">
        <v>8</v>
      </c>
      <c r="B11" s="5" t="s">
        <v>225</v>
      </c>
      <c r="C11" s="6" t="s">
        <v>226</v>
      </c>
      <c r="D11" s="6" t="s">
        <v>227</v>
      </c>
      <c r="E11" s="7" t="s">
        <v>22</v>
      </c>
      <c r="F11" s="4">
        <v>3</v>
      </c>
    </row>
    <row r="12" spans="1:6" ht="99.75" customHeight="1" x14ac:dyDescent="0.3">
      <c r="A12" s="4">
        <v>9</v>
      </c>
      <c r="B12" s="5" t="s">
        <v>228</v>
      </c>
      <c r="C12" s="6" t="s">
        <v>229</v>
      </c>
      <c r="D12" s="6" t="s">
        <v>230</v>
      </c>
      <c r="E12" s="7" t="s">
        <v>15</v>
      </c>
      <c r="F12" s="4">
        <v>3</v>
      </c>
    </row>
    <row r="13" spans="1:6" ht="99.75" customHeight="1" x14ac:dyDescent="0.3">
      <c r="A13" s="4">
        <v>10</v>
      </c>
      <c r="B13" s="5" t="s">
        <v>231</v>
      </c>
      <c r="C13" s="6" t="s">
        <v>232</v>
      </c>
      <c r="D13" s="6" t="s">
        <v>233</v>
      </c>
      <c r="E13" s="7" t="s">
        <v>149</v>
      </c>
      <c r="F13" s="4">
        <v>3</v>
      </c>
    </row>
    <row r="14" spans="1:6" ht="99.75" customHeight="1" x14ac:dyDescent="0.3">
      <c r="A14" s="4">
        <v>11</v>
      </c>
      <c r="B14" s="5" t="s">
        <v>234</v>
      </c>
      <c r="C14" s="6" t="s">
        <v>235</v>
      </c>
      <c r="D14" s="6" t="s">
        <v>236</v>
      </c>
      <c r="E14" s="10" t="s">
        <v>202</v>
      </c>
      <c r="F14" s="4">
        <v>2</v>
      </c>
    </row>
    <row r="15" spans="1:6" ht="99.75" customHeight="1" x14ac:dyDescent="0.3">
      <c r="A15" s="4">
        <v>12</v>
      </c>
      <c r="B15" s="5" t="s">
        <v>237</v>
      </c>
      <c r="C15" s="6" t="s">
        <v>238</v>
      </c>
      <c r="D15" s="6" t="s">
        <v>239</v>
      </c>
      <c r="E15" s="7" t="s">
        <v>114</v>
      </c>
      <c r="F15" s="4">
        <v>2</v>
      </c>
    </row>
    <row r="16" spans="1:6" x14ac:dyDescent="0.3">
      <c r="E16" s="9" t="s">
        <v>38</v>
      </c>
      <c r="F16" s="9">
        <f>SUM(F4:F15)</f>
        <v>35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40" customWidth="1"/>
    <col min="3" max="4" width="55" customWidth="1"/>
    <col min="5" max="5" width="22" customWidth="1"/>
    <col min="6" max="6" width="12" customWidth="1"/>
  </cols>
  <sheetData>
    <row r="1" spans="1:6" ht="27.75" customHeight="1" x14ac:dyDescent="0.3">
      <c r="A1" s="2" t="s">
        <v>240</v>
      </c>
      <c r="B1" s="2"/>
      <c r="C1" s="2"/>
      <c r="D1" s="2"/>
      <c r="E1" s="2"/>
      <c r="F1" s="2"/>
    </row>
    <row r="3" spans="1: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99.75" customHeight="1" x14ac:dyDescent="0.3">
      <c r="A4" s="4">
        <v>1</v>
      </c>
      <c r="B4" s="5" t="s">
        <v>241</v>
      </c>
      <c r="C4" s="6" t="s">
        <v>242</v>
      </c>
      <c r="D4" s="6" t="s">
        <v>243</v>
      </c>
      <c r="E4" s="7" t="s">
        <v>58</v>
      </c>
      <c r="F4" s="4">
        <v>8</v>
      </c>
    </row>
    <row r="5" spans="1:6" ht="99.75" customHeight="1" x14ac:dyDescent="0.3">
      <c r="A5" s="4">
        <v>2</v>
      </c>
      <c r="B5" s="5" t="s">
        <v>244</v>
      </c>
      <c r="C5" s="6" t="s">
        <v>245</v>
      </c>
      <c r="D5" s="6" t="s">
        <v>246</v>
      </c>
      <c r="E5" s="7" t="s">
        <v>22</v>
      </c>
      <c r="F5" s="4">
        <v>5</v>
      </c>
    </row>
    <row r="6" spans="1:6" ht="99.75" customHeight="1" x14ac:dyDescent="0.3">
      <c r="A6" s="4">
        <v>3</v>
      </c>
      <c r="B6" s="5" t="s">
        <v>247</v>
      </c>
      <c r="C6" s="6" t="s">
        <v>248</v>
      </c>
      <c r="D6" s="6" t="s">
        <v>249</v>
      </c>
      <c r="E6" s="7" t="s">
        <v>15</v>
      </c>
      <c r="F6" s="4">
        <v>3</v>
      </c>
    </row>
    <row r="7" spans="1:6" ht="99.75" customHeight="1" x14ac:dyDescent="0.3">
      <c r="A7" s="4">
        <v>4</v>
      </c>
      <c r="B7" s="5" t="s">
        <v>250</v>
      </c>
      <c r="C7" s="6" t="s">
        <v>251</v>
      </c>
      <c r="D7" s="6" t="s">
        <v>252</v>
      </c>
      <c r="E7" s="8" t="s">
        <v>110</v>
      </c>
      <c r="F7" s="4">
        <v>2</v>
      </c>
    </row>
    <row r="8" spans="1:6" ht="99.75" customHeight="1" x14ac:dyDescent="0.3">
      <c r="A8" s="4">
        <v>5</v>
      </c>
      <c r="B8" s="5" t="s">
        <v>253</v>
      </c>
      <c r="C8" s="6" t="s">
        <v>254</v>
      </c>
      <c r="D8" s="6" t="s">
        <v>255</v>
      </c>
      <c r="E8" s="7" t="s">
        <v>189</v>
      </c>
      <c r="F8" s="4">
        <v>5</v>
      </c>
    </row>
    <row r="9" spans="1:6" ht="99.75" customHeight="1" x14ac:dyDescent="0.3">
      <c r="A9" s="4">
        <v>6</v>
      </c>
      <c r="B9" s="5" t="s">
        <v>256</v>
      </c>
      <c r="C9" s="6" t="s">
        <v>257</v>
      </c>
      <c r="D9" s="6" t="s">
        <v>258</v>
      </c>
      <c r="E9" s="7" t="s">
        <v>15</v>
      </c>
      <c r="F9" s="4">
        <v>3</v>
      </c>
    </row>
    <row r="10" spans="1:6" ht="99.75" customHeight="1" x14ac:dyDescent="0.3">
      <c r="A10" s="4">
        <v>7</v>
      </c>
      <c r="B10" s="5" t="s">
        <v>259</v>
      </c>
      <c r="C10" s="6" t="s">
        <v>260</v>
      </c>
      <c r="D10" s="6" t="s">
        <v>261</v>
      </c>
      <c r="E10" s="7" t="s">
        <v>149</v>
      </c>
      <c r="F10" s="4">
        <v>3</v>
      </c>
    </row>
    <row r="11" spans="1:6" ht="99.75" customHeight="1" x14ac:dyDescent="0.3">
      <c r="A11" s="4">
        <v>8</v>
      </c>
      <c r="B11" s="5" t="s">
        <v>262</v>
      </c>
      <c r="C11" s="6" t="s">
        <v>263</v>
      </c>
      <c r="D11" s="6" t="s">
        <v>264</v>
      </c>
      <c r="E11" s="7" t="s">
        <v>15</v>
      </c>
      <c r="F11" s="4">
        <v>2</v>
      </c>
    </row>
    <row r="12" spans="1:6" ht="99.75" customHeight="1" x14ac:dyDescent="0.3">
      <c r="A12" s="4">
        <v>9</v>
      </c>
      <c r="B12" s="5" t="s">
        <v>265</v>
      </c>
      <c r="C12" s="6" t="s">
        <v>266</v>
      </c>
      <c r="D12" s="6" t="s">
        <v>267</v>
      </c>
      <c r="E12" s="7" t="s">
        <v>15</v>
      </c>
      <c r="F12" s="4">
        <v>2</v>
      </c>
    </row>
    <row r="13" spans="1:6" ht="99.75" customHeight="1" x14ac:dyDescent="0.3">
      <c r="A13" s="4">
        <v>10</v>
      </c>
      <c r="B13" s="5" t="s">
        <v>268</v>
      </c>
      <c r="C13" s="6" t="s">
        <v>269</v>
      </c>
      <c r="D13" s="6" t="s">
        <v>270</v>
      </c>
      <c r="E13" s="7" t="s">
        <v>149</v>
      </c>
      <c r="F13" s="4">
        <v>5</v>
      </c>
    </row>
    <row r="14" spans="1:6" ht="99.75" customHeight="1" x14ac:dyDescent="0.3">
      <c r="A14" s="4">
        <v>11</v>
      </c>
      <c r="B14" s="5" t="s">
        <v>271</v>
      </c>
      <c r="C14" s="6" t="s">
        <v>272</v>
      </c>
      <c r="D14" s="6" t="s">
        <v>273</v>
      </c>
      <c r="E14" s="8" t="s">
        <v>110</v>
      </c>
      <c r="F14" s="4">
        <v>5</v>
      </c>
    </row>
    <row r="15" spans="1:6" ht="99.75" customHeight="1" x14ac:dyDescent="0.3">
      <c r="A15" s="4">
        <v>12</v>
      </c>
      <c r="B15" s="5" t="s">
        <v>274</v>
      </c>
      <c r="C15" s="6" t="s">
        <v>275</v>
      </c>
      <c r="D15" s="6" t="s">
        <v>276</v>
      </c>
      <c r="E15" s="8" t="s">
        <v>110</v>
      </c>
      <c r="F15" s="4">
        <v>3</v>
      </c>
    </row>
    <row r="16" spans="1:6" x14ac:dyDescent="0.3">
      <c r="E16" s="9" t="s">
        <v>38</v>
      </c>
      <c r="F16" s="9">
        <f>SUM(F4:F15)</f>
        <v>46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40" customWidth="1"/>
    <col min="3" max="4" width="55" customWidth="1"/>
    <col min="5" max="5" width="22" customWidth="1"/>
    <col min="6" max="6" width="12" customWidth="1"/>
  </cols>
  <sheetData>
    <row r="1" spans="1:6" ht="27.75" customHeight="1" x14ac:dyDescent="0.3">
      <c r="A1" s="2" t="s">
        <v>277</v>
      </c>
      <c r="B1" s="2"/>
      <c r="C1" s="2"/>
      <c r="D1" s="2"/>
      <c r="E1" s="2"/>
      <c r="F1" s="2"/>
    </row>
    <row r="3" spans="1: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99.75" customHeight="1" x14ac:dyDescent="0.3">
      <c r="A4" s="4">
        <v>1</v>
      </c>
      <c r="B4" s="5" t="s">
        <v>278</v>
      </c>
      <c r="C4" s="6" t="s">
        <v>279</v>
      </c>
      <c r="D4" s="6" t="s">
        <v>280</v>
      </c>
      <c r="E4" s="7" t="s">
        <v>114</v>
      </c>
      <c r="F4" s="4">
        <v>5</v>
      </c>
    </row>
    <row r="5" spans="1:6" ht="99.75" customHeight="1" x14ac:dyDescent="0.3">
      <c r="A5" s="4">
        <v>2</v>
      </c>
      <c r="B5" s="5" t="s">
        <v>281</v>
      </c>
      <c r="C5" s="6" t="s">
        <v>282</v>
      </c>
      <c r="D5" s="6" t="s">
        <v>283</v>
      </c>
      <c r="E5" s="7" t="s">
        <v>114</v>
      </c>
      <c r="F5" s="4">
        <v>5</v>
      </c>
    </row>
    <row r="6" spans="1:6" ht="99.75" customHeight="1" x14ac:dyDescent="0.3">
      <c r="A6" s="4">
        <v>3</v>
      </c>
      <c r="B6" s="5" t="s">
        <v>284</v>
      </c>
      <c r="C6" s="6" t="s">
        <v>285</v>
      </c>
      <c r="D6" s="6" t="s">
        <v>286</v>
      </c>
      <c r="E6" s="7" t="s">
        <v>29</v>
      </c>
      <c r="F6" s="4">
        <v>2</v>
      </c>
    </row>
    <row r="7" spans="1:6" ht="99.75" customHeight="1" x14ac:dyDescent="0.3">
      <c r="A7" s="4">
        <v>4</v>
      </c>
      <c r="B7" s="5" t="s">
        <v>287</v>
      </c>
      <c r="C7" s="6" t="s">
        <v>288</v>
      </c>
      <c r="D7" s="6" t="s">
        <v>289</v>
      </c>
      <c r="E7" s="7" t="s">
        <v>15</v>
      </c>
      <c r="F7" s="4">
        <v>2</v>
      </c>
    </row>
    <row r="8" spans="1:6" ht="99.75" customHeight="1" x14ac:dyDescent="0.3">
      <c r="A8" s="4">
        <v>5</v>
      </c>
      <c r="B8" s="5" t="s">
        <v>290</v>
      </c>
      <c r="C8" s="6" t="s">
        <v>291</v>
      </c>
      <c r="D8" s="6" t="s">
        <v>292</v>
      </c>
      <c r="E8" s="7" t="s">
        <v>15</v>
      </c>
      <c r="F8" s="4">
        <v>3</v>
      </c>
    </row>
    <row r="9" spans="1:6" ht="99.75" customHeight="1" x14ac:dyDescent="0.3">
      <c r="A9" s="4">
        <v>6</v>
      </c>
      <c r="B9" s="5" t="s">
        <v>293</v>
      </c>
      <c r="C9" s="6" t="s">
        <v>294</v>
      </c>
      <c r="D9" s="6" t="s">
        <v>295</v>
      </c>
      <c r="E9" s="7" t="s">
        <v>29</v>
      </c>
      <c r="F9" s="4">
        <v>1</v>
      </c>
    </row>
    <row r="10" spans="1:6" ht="99.75" customHeight="1" x14ac:dyDescent="0.3">
      <c r="A10" s="4">
        <v>7</v>
      </c>
      <c r="B10" s="5" t="s">
        <v>296</v>
      </c>
      <c r="C10" s="6" t="s">
        <v>297</v>
      </c>
      <c r="D10" s="6" t="s">
        <v>298</v>
      </c>
      <c r="E10" s="7" t="s">
        <v>15</v>
      </c>
      <c r="F10" s="4">
        <v>3</v>
      </c>
    </row>
    <row r="11" spans="1:6" ht="99.75" customHeight="1" x14ac:dyDescent="0.3">
      <c r="A11" s="4">
        <v>8</v>
      </c>
      <c r="B11" s="5" t="s">
        <v>299</v>
      </c>
      <c r="C11" s="6" t="s">
        <v>300</v>
      </c>
      <c r="D11" s="6" t="s">
        <v>301</v>
      </c>
      <c r="E11" s="8" t="s">
        <v>302</v>
      </c>
      <c r="F11" s="4">
        <v>3</v>
      </c>
    </row>
    <row r="12" spans="1:6" ht="99.75" customHeight="1" x14ac:dyDescent="0.3">
      <c r="A12" s="4">
        <v>9</v>
      </c>
      <c r="B12" s="5" t="s">
        <v>303</v>
      </c>
      <c r="C12" s="6" t="s">
        <v>304</v>
      </c>
      <c r="D12" s="6" t="s">
        <v>305</v>
      </c>
      <c r="E12" s="7" t="s">
        <v>33</v>
      </c>
      <c r="F12" s="4">
        <v>3</v>
      </c>
    </row>
    <row r="13" spans="1:6" x14ac:dyDescent="0.3">
      <c r="E13" s="9" t="s">
        <v>38</v>
      </c>
      <c r="F13" s="9">
        <f>SUM(F4:F12)</f>
        <v>27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40" customWidth="1"/>
    <col min="3" max="4" width="55" customWidth="1"/>
    <col min="5" max="5" width="22" customWidth="1"/>
    <col min="6" max="6" width="12" customWidth="1"/>
  </cols>
  <sheetData>
    <row r="1" spans="1:6" ht="27.75" customHeight="1" x14ac:dyDescent="0.3">
      <c r="A1" s="2" t="s">
        <v>306</v>
      </c>
      <c r="B1" s="2"/>
      <c r="C1" s="2"/>
      <c r="D1" s="2"/>
      <c r="E1" s="2"/>
      <c r="F1" s="2"/>
    </row>
    <row r="3" spans="1: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99.75" customHeight="1" x14ac:dyDescent="0.3">
      <c r="A4" s="4">
        <v>1</v>
      </c>
      <c r="B4" s="5" t="s">
        <v>307</v>
      </c>
      <c r="C4" s="6" t="s">
        <v>308</v>
      </c>
      <c r="D4" s="6" t="s">
        <v>309</v>
      </c>
      <c r="E4" s="7" t="s">
        <v>29</v>
      </c>
      <c r="F4" s="4">
        <v>5</v>
      </c>
    </row>
    <row r="5" spans="1:6" ht="99.75" customHeight="1" x14ac:dyDescent="0.3">
      <c r="A5" s="4">
        <v>2</v>
      </c>
      <c r="B5" s="5" t="s">
        <v>310</v>
      </c>
      <c r="C5" s="6" t="s">
        <v>311</v>
      </c>
      <c r="D5" s="6" t="s">
        <v>312</v>
      </c>
      <c r="E5" s="7" t="s">
        <v>29</v>
      </c>
      <c r="F5" s="4">
        <v>2</v>
      </c>
    </row>
    <row r="6" spans="1:6" ht="99.75" customHeight="1" x14ac:dyDescent="0.3">
      <c r="A6" s="4">
        <v>3</v>
      </c>
      <c r="B6" s="5" t="s">
        <v>313</v>
      </c>
      <c r="C6" s="6" t="s">
        <v>314</v>
      </c>
      <c r="D6" s="6" t="s">
        <v>315</v>
      </c>
      <c r="E6" s="7" t="s">
        <v>29</v>
      </c>
      <c r="F6" s="4">
        <v>3</v>
      </c>
    </row>
    <row r="7" spans="1:6" ht="99.75" customHeight="1" x14ac:dyDescent="0.3">
      <c r="A7" s="4">
        <v>4</v>
      </c>
      <c r="B7" s="5" t="s">
        <v>316</v>
      </c>
      <c r="C7" s="6" t="s">
        <v>317</v>
      </c>
      <c r="D7" s="6" t="s">
        <v>318</v>
      </c>
      <c r="E7" s="7" t="s">
        <v>33</v>
      </c>
      <c r="F7" s="4">
        <v>5</v>
      </c>
    </row>
    <row r="8" spans="1:6" ht="99.75" customHeight="1" x14ac:dyDescent="0.3">
      <c r="A8" s="4">
        <v>5</v>
      </c>
      <c r="B8" s="5" t="s">
        <v>319</v>
      </c>
      <c r="C8" s="6" t="s">
        <v>320</v>
      </c>
      <c r="D8" s="6" t="s">
        <v>321</v>
      </c>
      <c r="E8" s="7" t="s">
        <v>33</v>
      </c>
      <c r="F8" s="4">
        <v>2</v>
      </c>
    </row>
    <row r="9" spans="1:6" ht="99.75" customHeight="1" x14ac:dyDescent="0.3">
      <c r="A9" s="4">
        <v>6</v>
      </c>
      <c r="B9" s="5" t="s">
        <v>322</v>
      </c>
      <c r="C9" s="6" t="s">
        <v>320</v>
      </c>
      <c r="D9" s="6" t="s">
        <v>323</v>
      </c>
      <c r="E9" s="7" t="s">
        <v>33</v>
      </c>
      <c r="F9" s="4">
        <v>2</v>
      </c>
    </row>
    <row r="10" spans="1:6" ht="99.75" customHeight="1" x14ac:dyDescent="0.3">
      <c r="A10" s="4">
        <v>7</v>
      </c>
      <c r="B10" s="5" t="s">
        <v>324</v>
      </c>
      <c r="C10" s="6" t="s">
        <v>320</v>
      </c>
      <c r="D10" s="6" t="s">
        <v>325</v>
      </c>
      <c r="E10" s="7" t="s">
        <v>33</v>
      </c>
      <c r="F10" s="4">
        <v>2</v>
      </c>
    </row>
    <row r="11" spans="1:6" ht="99.75" customHeight="1" x14ac:dyDescent="0.3">
      <c r="A11" s="4">
        <v>8</v>
      </c>
      <c r="B11" s="5" t="s">
        <v>326</v>
      </c>
      <c r="C11" s="6" t="s">
        <v>320</v>
      </c>
      <c r="D11" s="6" t="s">
        <v>327</v>
      </c>
      <c r="E11" s="7" t="s">
        <v>33</v>
      </c>
      <c r="F11" s="4">
        <v>2</v>
      </c>
    </row>
    <row r="12" spans="1:6" ht="99.75" customHeight="1" x14ac:dyDescent="0.3">
      <c r="A12" s="4">
        <v>9</v>
      </c>
      <c r="B12" s="5" t="s">
        <v>328</v>
      </c>
      <c r="C12" s="6" t="s">
        <v>329</v>
      </c>
      <c r="D12" s="6" t="s">
        <v>330</v>
      </c>
      <c r="E12" s="7" t="s">
        <v>33</v>
      </c>
      <c r="F12" s="4">
        <v>5</v>
      </c>
    </row>
    <row r="13" spans="1:6" ht="99.75" customHeight="1" x14ac:dyDescent="0.3">
      <c r="A13" s="4">
        <v>10</v>
      </c>
      <c r="B13" s="5" t="s">
        <v>331</v>
      </c>
      <c r="C13" s="6" t="s">
        <v>332</v>
      </c>
      <c r="D13" s="6" t="s">
        <v>333</v>
      </c>
      <c r="E13" s="7" t="s">
        <v>33</v>
      </c>
      <c r="F13" s="4">
        <v>3</v>
      </c>
    </row>
    <row r="14" spans="1:6" x14ac:dyDescent="0.3">
      <c r="E14" s="9" t="s">
        <v>38</v>
      </c>
      <c r="F14" s="9">
        <f>SUM(F4:F13)</f>
        <v>31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Guide Trello</vt:lpstr>
      <vt:lpstr>Sprint 0</vt:lpstr>
      <vt:lpstr>Sprint 1</vt:lpstr>
      <vt:lpstr>Sprint 2</vt:lpstr>
      <vt:lpstr>Sprint 3</vt:lpstr>
      <vt:lpstr>Sprint 4</vt:lpstr>
      <vt:lpstr>Sprint 5</vt:lpstr>
      <vt:lpstr>Sprint 6</vt:lpstr>
      <vt:lpstr>Sprint 7</vt:lpstr>
      <vt:lpstr>Sprint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Aziz Ndiaye</cp:lastModifiedBy>
  <cp:revision>0</cp:revision>
  <dcterms:created xsi:type="dcterms:W3CDTF">2026-04-24T15:48:24Z</dcterms:created>
  <dcterms:modified xsi:type="dcterms:W3CDTF">2026-04-24T17:16:34Z</dcterms:modified>
  <dc:language>en-US</dc:language>
</cp:coreProperties>
</file>